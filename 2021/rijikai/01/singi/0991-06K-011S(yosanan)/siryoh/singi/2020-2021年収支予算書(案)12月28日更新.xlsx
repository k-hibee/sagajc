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松並陽一\Dropbox\2021アジェンダ\理事会\01\singi\0991-06K-011S(yosanan)\siryoh\singi\"/>
    </mc:Choice>
  </mc:AlternateContent>
  <xr:revisionPtr revIDLastSave="0" documentId="13_ncr:1_{3886C2BA-E942-4B9B-99C3-4AC9AD5019CB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2" i="4" l="1"/>
  <c r="E82" i="4" l="1"/>
  <c r="E89" i="4"/>
  <c r="E87" i="4"/>
  <c r="E72" i="4"/>
  <c r="E66" i="4"/>
  <c r="E63" i="4"/>
  <c r="E61" i="4"/>
  <c r="E59" i="4"/>
  <c r="E55" i="4"/>
  <c r="E43" i="4"/>
  <c r="E92" i="4" s="1"/>
  <c r="E94" i="4" s="1"/>
  <c r="E29" i="2"/>
  <c r="E26" i="4"/>
  <c r="E28" i="4" s="1"/>
  <c r="K89" i="4"/>
  <c r="H89" i="4"/>
  <c r="H87" i="4"/>
  <c r="K83" i="4"/>
  <c r="K87" i="4" s="1"/>
  <c r="H82" i="4"/>
  <c r="K72" i="4"/>
  <c r="H72" i="4"/>
  <c r="K66" i="4"/>
  <c r="H66" i="4"/>
  <c r="K63" i="4"/>
  <c r="H63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26" i="4" s="1"/>
  <c r="K5" i="4"/>
  <c r="E93" i="4" l="1"/>
  <c r="H92" i="4"/>
  <c r="H94" i="4" s="1"/>
  <c r="K43" i="4"/>
  <c r="K28" i="4"/>
  <c r="B30" i="3"/>
  <c r="H5" i="3"/>
  <c r="H6" i="3"/>
  <c r="H19" i="3"/>
  <c r="H25" i="3" s="1"/>
  <c r="K92" i="4" l="1"/>
  <c r="H93" i="4"/>
  <c r="H27" i="3"/>
  <c r="H87" i="3"/>
  <c r="E87" i="3"/>
  <c r="E85" i="3"/>
  <c r="H81" i="3"/>
  <c r="H85" i="3" s="1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K93" i="4" l="1"/>
  <c r="K94" i="4"/>
  <c r="H42" i="3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<sst xmlns="http://schemas.openxmlformats.org/spreadsheetml/2006/main" count="488" uniqueCount="182">
  <si>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</si>
  <si>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</si>
  <si>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</si>
  <si>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</si>
  <si>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</si>
  <si>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</si>
  <si>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</si>
  <si>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</si>
  <si>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</si>
  <si>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</si>
  <si>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</si>
  <si>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</si>
  <si>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</si>
  <si>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</si>
  <si>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</si>
  <si>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</si>
  <si>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</si>
  <si>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</si>
  <si>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</si>
  <si>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</si>
  <si>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</si>
  <si>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</si>
  <si>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</si>
  <si>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</si>
  <si>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</si>
  <si>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</si>
  <si>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</si>
  <si>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</si>
  <si>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</si>
  <si>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</si>
  <si>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</si>
  <si>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</si>
  <si>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</si>
  <si>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</si>
  <si>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</si>
  <si>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</si>
  <si>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</si>
  <si>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</si>
  <si>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</si>
  <si>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</si>
  <si>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</si>
  <si>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</si>
  <si>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</si>
  <si>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</si>
  <si>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</si>
  <si>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</si>
  <si>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</si>
  <si>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</si>
  <si>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</si>
  <si>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</si>
  <si>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</si>
  <si>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</si>
  <si>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</si>
  <si>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</si>
  <si>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</si>
  <si>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</si>
  <si>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</si>
  <si>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</si>
  <si>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</si>
  <si>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</si>
  <si>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</si>
  <si>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</si>
  <si>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</si>
  <si>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</si>
  <si>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</si>
  <si>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</si>
  <si>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</si>
  <si>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</si>
  <si>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</si>
  <si>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</si>
  <si>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</si>
  <si>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</si>
  <si>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</si>
  <si>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</si>
  <si>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</si>
  <si>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</si>
  <si>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</si>
  <si>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</si>
  <si>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</si>
  <si>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</si>
  <si>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</si>
  <si>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</si>
  <si>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</si>
  <si>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</si>
  <si>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</si>
  <si>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</si>
  <si>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</si>
  <si>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</si>
  <si>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</si>
  <si>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</si>
  <si>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</si>
  <si>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</si>
  <si>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</si>
  <si>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</si>
  <si>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</si>
  <si>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</si>
  <si>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</si>
  <si>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</si>
  <si>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</si>
  <si>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</si>
  <si>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</si>
  <si>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</si>
  <si>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</si>
  <si>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</si>
  <si>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</si>
  <si>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</si>
  <si>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</si>
  <si>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</si>
  <si>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</si>
  <si>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</si>
  <si>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</si>
  <si>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</si>
  <si>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</si>
  <si>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</si>
  <si>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</si>
  <si>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</si>
  <si>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</si>
  <si>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</si>
  <si>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</si>
  <si>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</si>
  <si>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</si>
  <si>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</si>
  <si>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</si>
  <si>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</si>
  <si>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</si>
  <si>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</si>
  <si>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</si>
  <si>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</si>
  <si>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</si>
  <si>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</si>
  <si>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</si>
  <si>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</si>
  <si>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</si>
  <si>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</si>
  <si>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</si>
  <si>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</si>
  <si>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</si>
  <si>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</si>
  <si>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</si>
  <si>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</si>
  <si>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</si>
  <si>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</si>
  <si>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</si>
  <si>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</si>
  <si>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</si>
  <si>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</si>
  <si>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</si>
  <si>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</si>
  <si>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</si>
  <si>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</si>
  <si>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</si>
  <si>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</si>
  <si>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</si>
  <si>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</si>
  <si>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</si>
  <si>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</si>
  <si>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</si>
  <si>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</si>
  <si>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</si>
  <si>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</si>
  <si>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</si>
  <si>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</si>
  <si>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</si>
  <si>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</si>
  <si>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</si>
  <si>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</si>
  <si>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</si>
  <si>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</si>
  <si>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</si>
  <si>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</si>
  <si>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</si>
  <si>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</si>
  <si>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</si>
  <si>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</si>
  <si>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</si>
  <si>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</si>
  <si>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</si>
  <si>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</si>
  <si>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10.5＄(単価　1,573　円)</t>
    <rPh sb="6" eb="8">
      <t>タンカ</t>
    </rPh>
    <rPh sb="15" eb="16">
      <t>エン</t>
    </rPh>
    <phoneticPr fontId="4"/>
  </si>
  <si>
    <t>周年事業積立金解約</t>
    <rPh sb="0" eb="2">
      <t>シュウネン</t>
    </rPh>
    <rPh sb="2" eb="4">
      <t>ジギョウ</t>
    </rPh>
    <rPh sb="4" eb="6">
      <t>ツミタテ</t>
    </rPh>
    <rPh sb="6" eb="7">
      <t>キン</t>
    </rPh>
    <rPh sb="7" eb="9">
      <t>カイヤク</t>
    </rPh>
    <phoneticPr fontId="4"/>
  </si>
  <si>
    <t>65周年事業推進費</t>
    <phoneticPr fontId="4"/>
  </si>
  <si>
    <t>コピー機、印刷機リース料・再リース料・保守契約料、PCリース料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</si>
</sst>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 shrinkToFit="1"/>
    </xf>
    <xf numFmtId="38" fontId="1" fillId="0" borderId="7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 shrinkToFit="1"/>
    </xf>
    <xf numFmtId="38" fontId="1" fillId="0" borderId="11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" fillId="0" borderId="12" xfId="1" applyFont="1" applyFill="1" applyBorder="1" applyAlignment="1">
      <alignment vertical="center"/>
    </xf>
    <xf numFmtId="38" fontId="1" fillId="0" borderId="16" xfId="1" applyFont="1" applyFill="1" applyBorder="1" applyAlignment="1">
      <alignment horizontal="right" vertical="center"/>
    </xf>
    <xf numFmtId="38" fontId="1" fillId="0" borderId="15" xfId="1" applyFont="1" applyFill="1" applyBorder="1" applyAlignment="1">
      <alignment horizontal="right" vertical="center"/>
    </xf>
    <xf numFmtId="38" fontId="1" fillId="0" borderId="7" xfId="1" applyFont="1" applyFill="1" applyBorder="1" applyAlignment="1">
      <alignment horizontal="right" vertical="center"/>
    </xf>
    <xf numFmtId="38" fontId="1" fillId="0" borderId="18" xfId="1" applyFont="1" applyFill="1" applyBorder="1" applyAlignment="1">
      <alignment horizontal="right" vertical="center"/>
    </xf>
    <xf numFmtId="38" fontId="1" fillId="0" borderId="4" xfId="1" applyFont="1" applyFill="1" applyBorder="1" applyAlignment="1">
      <alignment horizontal="right" vertical="center"/>
    </xf>
    <xf numFmtId="38" fontId="1" fillId="0" borderId="3" xfId="1" applyFont="1" applyFill="1" applyBorder="1" applyAlignment="1">
      <alignment horizontal="right" vertical="center"/>
    </xf>
    <xf numFmtId="38" fontId="1" fillId="0" borderId="22" xfId="1" applyFont="1" applyFill="1" applyBorder="1" applyAlignment="1">
      <alignment horizontal="right" vertical="center"/>
    </xf>
    <xf numFmtId="38" fontId="1" fillId="0" borderId="20" xfId="1" applyFont="1" applyFill="1" applyBorder="1" applyAlignment="1">
      <alignment horizontal="right" vertical="center"/>
    </xf>
    <xf numFmtId="38" fontId="1" fillId="0" borderId="21" xfId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38" fontId="1" fillId="0" borderId="9" xfId="1" applyFont="1" applyFill="1" applyBorder="1" applyAlignment="1">
      <alignment vertical="center" shrinkToFit="1"/>
    </xf>
    <xf numFmtId="38" fontId="1" fillId="0" borderId="23" xfId="1" applyFont="1" applyFill="1" applyBorder="1" applyAlignment="1">
      <alignment horizontal="right" vertical="center"/>
    </xf>
    <xf numFmtId="38" fontId="1" fillId="0" borderId="9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/>
    </xf>
    <xf numFmtId="38" fontId="1" fillId="0" borderId="1" xfId="1" applyFont="1" applyFill="1" applyBorder="1" applyAlignment="1">
      <alignment vertical="center"/>
    </xf>
    <xf numFmtId="38" fontId="1" fillId="0" borderId="25" xfId="1" applyFont="1" applyFill="1" applyBorder="1" applyAlignment="1">
      <alignment horizontal="right" vertical="center"/>
    </xf>
    <xf numFmtId="38" fontId="1" fillId="0" borderId="0" xfId="1" applyFont="1" applyFill="1" applyBorder="1" applyAlignment="1">
      <alignment vertical="center" shrinkToFit="1"/>
    </xf>
    <xf numFmtId="38" fontId="1" fillId="0" borderId="5" xfId="1" applyFont="1" applyFill="1" applyBorder="1" applyAlignment="1">
      <alignment horizontal="left" vertical="center"/>
    </xf>
    <xf numFmtId="38" fontId="1" fillId="0" borderId="24" xfId="1" applyFont="1" applyFill="1" applyBorder="1" applyAlignment="1">
      <alignment horizontal="right" vertical="center"/>
    </xf>
    <xf numFmtId="38" fontId="1" fillId="0" borderId="5" xfId="1" applyFont="1" applyFill="1" applyBorder="1" applyAlignment="1">
      <alignment horizontal="right" vertical="center"/>
    </xf>
    <xf numFmtId="38" fontId="16" fillId="0" borderId="23" xfId="1" applyFont="1" applyFill="1" applyBorder="1" applyAlignment="1">
      <alignment horizontal="right"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177" fontId="6" fillId="0" borderId="12" xfId="1" applyNumberFormat="1" applyFont="1" applyFill="1" applyBorder="1" applyAlignment="1">
      <alignment vertical="center" shrinkToFit="1"/>
    </xf>
    <xf numFmtId="177" fontId="9" fillId="0" borderId="9" xfId="1" applyNumberFormat="1" applyFont="1" applyFill="1" applyBorder="1" applyAlignment="1">
      <alignment vertical="center" shrinkToFit="1"/>
    </xf>
    <xf numFmtId="177" fontId="17" fillId="0" borderId="9" xfId="1" applyNumberFormat="1" applyFont="1" applyFill="1" applyBorder="1" applyAlignment="1">
      <alignment vertical="center"/>
    </xf>
    <xf numFmtId="176" fontId="7" fillId="0" borderId="0" xfId="0" applyNumberFormat="1" applyFont="1" applyFill="1" applyBorder="1"/>
    <xf numFmtId="177" fontId="9" fillId="0" borderId="2" xfId="1" applyNumberFormat="1" applyFont="1" applyFill="1" applyBorder="1" applyAlignment="1">
      <alignment horizontal="center" vertical="center" shrinkToFit="1"/>
    </xf>
    <xf numFmtId="177" fontId="17" fillId="0" borderId="3" xfId="1" applyNumberFormat="1" applyFont="1" applyFill="1" applyBorder="1" applyAlignment="1">
      <alignment horizontal="center" vertical="center" wrapText="1" shrinkToFit="1"/>
    </xf>
    <xf numFmtId="177" fontId="9" fillId="0" borderId="3" xfId="1" applyNumberFormat="1" applyFont="1" applyFill="1" applyBorder="1" applyAlignment="1">
      <alignment horizontal="center" vertical="center" wrapText="1" shrinkToFit="1"/>
    </xf>
    <xf numFmtId="0" fontId="7" fillId="0" borderId="0" xfId="0" applyFont="1" applyFill="1"/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19" zoomScale="86" zoomScaleNormal="86" workbookViewId="0">
      <selection activeCell="E71" sqref="E71:E78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8" t="s">
        <v>126</v>
      </c>
      <c r="B1" s="168"/>
      <c r="C1" s="168"/>
      <c r="D1" s="168"/>
      <c r="E1" s="168"/>
      <c r="F1" s="168"/>
      <c r="G1" s="168"/>
      <c r="H1" s="168"/>
      <c r="I1" s="168"/>
    </row>
    <row r="2" spans="1:9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</row>
    <row r="3" spans="1:9" ht="13.9" customHeight="1" thickBot="1" x14ac:dyDescent="0.3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2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2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2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2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2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2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2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2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2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2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2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2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2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2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2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2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2">
      <c r="A24" s="170" t="s">
        <v>30</v>
      </c>
      <c r="B24" s="167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2">
      <c r="A25" s="166" t="s">
        <v>31</v>
      </c>
      <c r="B25" s="167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5">
      <c r="A26" s="166" t="s">
        <v>33</v>
      </c>
      <c r="B26" s="167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2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3.5" thickBot="1" x14ac:dyDescent="0.25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2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2">
      <c r="A30" s="164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2">
      <c r="A31" s="165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2">
      <c r="A32" s="165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2">
      <c r="A33" s="165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2">
      <c r="A34" s="165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2">
      <c r="A35" s="165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2">
      <c r="A36" s="165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2">
      <c r="A37" s="165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2">
      <c r="A38" s="165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2">
      <c r="A39" s="165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2">
      <c r="A40" s="165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2">
      <c r="A41" s="163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2">
      <c r="A42" s="164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2">
      <c r="A43" s="165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2">
      <c r="A44" s="165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2">
      <c r="A45" s="165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2">
      <c r="A46" s="165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2">
      <c r="A47" s="165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2">
      <c r="A48" s="165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2">
      <c r="A49" s="165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2">
      <c r="A50" s="165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2">
      <c r="A51" s="165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2">
      <c r="A52" s="165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2">
      <c r="A53" s="163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2">
      <c r="A54" s="164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2">
      <c r="A55" s="165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2">
      <c r="A56" s="165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2">
      <c r="A57" s="163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2">
      <c r="A58" s="171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2">
      <c r="A59" s="172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2">
      <c r="A60" s="171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2">
      <c r="A61" s="172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2">
      <c r="A62" s="164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2">
      <c r="A63" s="165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2">
      <c r="A64" s="163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2">
      <c r="A65" s="164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2">
      <c r="A66" s="165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2">
      <c r="A67" s="165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2">
      <c r="A68" s="165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2">
      <c r="A69" s="165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2">
      <c r="A70" s="163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2">
      <c r="A71" s="161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2">
      <c r="A72" s="162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2">
      <c r="A73" s="162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2">
      <c r="A74" s="162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2">
      <c r="A75" s="162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2">
      <c r="A76" s="162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2">
      <c r="A77" s="162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2">
      <c r="A78" s="162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2">
      <c r="A79" s="163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2">
      <c r="A80" s="164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2">
      <c r="A81" s="165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2">
      <c r="A82" s="165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2">
      <c r="A83" s="165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2">
      <c r="A84" s="163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2">
      <c r="A85" s="164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2">
      <c r="A86" s="163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2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2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2">
      <c r="A89" s="166" t="s">
        <v>107</v>
      </c>
      <c r="B89" s="167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2">
      <c r="A90" s="166" t="s">
        <v>108</v>
      </c>
      <c r="B90" s="167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5">
      <c r="A91" s="166" t="s">
        <v>109</v>
      </c>
      <c r="B91" s="167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  <mergeCell ref="A71:A79"/>
    <mergeCell ref="A80:A84"/>
    <mergeCell ref="A89:B89"/>
    <mergeCell ref="A90:B90"/>
    <mergeCell ref="A91:B91"/>
    <mergeCell ref="A85:A86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zoomScale="86" zoomScaleNormal="86" workbookViewId="0">
      <selection activeCell="L29" sqref="K29:L29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8" t="s">
        <v>151</v>
      </c>
      <c r="B1" s="168"/>
      <c r="C1" s="168"/>
      <c r="D1" s="168"/>
      <c r="E1" s="168"/>
      <c r="F1" s="168"/>
      <c r="G1" s="168"/>
      <c r="H1" s="168"/>
      <c r="I1" s="168"/>
    </row>
    <row r="2" spans="1:9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</row>
    <row r="3" spans="1:9" ht="13.9" customHeight="1" x14ac:dyDescent="0.3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2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2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2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2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2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2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2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2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2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2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2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2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2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2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2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2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2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2">
      <c r="A25" s="170" t="s">
        <v>30</v>
      </c>
      <c r="B25" s="173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2">
      <c r="A26" s="166" t="s">
        <v>31</v>
      </c>
      <c r="B26" s="173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2">
      <c r="A27" s="166" t="s">
        <v>33</v>
      </c>
      <c r="B27" s="173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2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2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2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2">
      <c r="A31" s="164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2">
      <c r="A32" s="165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2">
      <c r="A33" s="165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2">
      <c r="A34" s="165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2">
      <c r="A35" s="165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2">
      <c r="A36" s="165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2">
      <c r="A37" s="165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2">
      <c r="A38" s="165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2">
      <c r="A39" s="165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2">
      <c r="A40" s="165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2">
      <c r="A41" s="165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2">
      <c r="A42" s="163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2">
      <c r="A43" s="164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2">
      <c r="A44" s="165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2">
      <c r="A45" s="165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2">
      <c r="A46" s="165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2">
      <c r="A47" s="165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2">
      <c r="A48" s="165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2">
      <c r="A49" s="165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2">
      <c r="A50" s="165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2">
      <c r="A51" s="165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2">
      <c r="A52" s="165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2">
      <c r="A53" s="165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2">
      <c r="A54" s="163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2">
      <c r="A55" s="164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2">
      <c r="A56" s="165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2">
      <c r="A57" s="165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2">
      <c r="A58" s="163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2">
      <c r="A59" s="171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2">
      <c r="A60" s="172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2">
      <c r="A61" s="171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2">
      <c r="A62" s="172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2">
      <c r="A63" s="164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2">
      <c r="A64" s="165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2">
      <c r="A65" s="163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2">
      <c r="A66" s="164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2">
      <c r="A67" s="165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2">
      <c r="A68" s="165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2">
      <c r="A69" s="165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2">
      <c r="A70" s="165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2">
      <c r="A71" s="163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2">
      <c r="A72" s="161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2">
      <c r="A73" s="162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2">
      <c r="A74" s="162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2">
      <c r="A75" s="162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2">
      <c r="A76" s="162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2">
      <c r="A77" s="162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2">
      <c r="A78" s="162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2">
      <c r="A79" s="162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2">
      <c r="A80" s="163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2">
      <c r="A81" s="164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2">
      <c r="A82" s="165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2">
      <c r="A83" s="165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2">
      <c r="A84" s="165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2">
      <c r="A85" s="163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2">
      <c r="A86" s="164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2">
      <c r="A87" s="163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2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2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2">
      <c r="A90" s="166" t="s">
        <v>107</v>
      </c>
      <c r="B90" s="167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2">
      <c r="A91" s="166" t="s">
        <v>108</v>
      </c>
      <c r="B91" s="167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2">
      <c r="A92" s="166" t="s">
        <v>109</v>
      </c>
      <c r="B92" s="167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31:A42"/>
    <mergeCell ref="A1:I1"/>
    <mergeCell ref="A2:I2"/>
    <mergeCell ref="A25:B25"/>
    <mergeCell ref="A26:B26"/>
    <mergeCell ref="A27:B27"/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4"/>
  <sheetViews>
    <sheetView tabSelected="1" topLeftCell="A16" zoomScale="96" zoomScaleNormal="86" workbookViewId="0">
      <selection activeCell="H35" sqref="H35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8.7265625" style="1" customWidth="1"/>
    <col min="10" max="10" width="5.7265625" style="160" customWidth="1"/>
    <col min="11" max="11" width="12.7265625" style="160" customWidth="1"/>
    <col min="12" max="12" width="43.90625" style="1" customWidth="1"/>
    <col min="13" max="16384" width="9" style="1"/>
  </cols>
  <sheetData>
    <row r="1" spans="1:12" ht="16.5" x14ac:dyDescent="0.25">
      <c r="A1" s="168" t="s">
        <v>151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2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</row>
    <row r="3" spans="1:12" ht="13.9" customHeight="1" x14ac:dyDescent="0.3">
      <c r="A3" s="2" t="s">
        <v>0</v>
      </c>
      <c r="B3" s="3"/>
      <c r="C3" s="3"/>
      <c r="D3" s="3"/>
      <c r="E3" s="3"/>
      <c r="F3" s="2"/>
      <c r="G3" s="2"/>
      <c r="H3" s="2"/>
      <c r="I3" s="2"/>
      <c r="J3" s="156"/>
      <c r="K3" s="156"/>
      <c r="L3" s="4" t="s">
        <v>1</v>
      </c>
    </row>
    <row r="4" spans="1:12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136</v>
      </c>
      <c r="F4" s="7" t="s">
        <v>4</v>
      </c>
      <c r="G4" s="8" t="s">
        <v>5</v>
      </c>
      <c r="H4" s="81" t="s">
        <v>152</v>
      </c>
      <c r="I4" s="7" t="s">
        <v>4</v>
      </c>
      <c r="J4" s="157" t="s">
        <v>5</v>
      </c>
      <c r="K4" s="158" t="s">
        <v>153</v>
      </c>
      <c r="L4" s="10" t="s">
        <v>6</v>
      </c>
    </row>
    <row r="5" spans="1:12" s="11" customFormat="1" ht="13.9" customHeight="1" x14ac:dyDescent="0.2">
      <c r="A5" s="12" t="s">
        <v>7</v>
      </c>
      <c r="B5" s="83" t="s">
        <v>8</v>
      </c>
      <c r="C5" s="123">
        <v>40000</v>
      </c>
      <c r="D5" s="123">
        <v>40</v>
      </c>
      <c r="E5" s="124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17" t="s">
        <v>145</v>
      </c>
    </row>
    <row r="6" spans="1:12" s="11" customFormat="1" ht="13.9" customHeight="1" x14ac:dyDescent="0.2">
      <c r="A6" s="18" t="s">
        <v>9</v>
      </c>
      <c r="B6" s="84" t="s">
        <v>10</v>
      </c>
      <c r="C6" s="125">
        <v>120000</v>
      </c>
      <c r="D6" s="125"/>
      <c r="E6" s="126">
        <v>11650000</v>
      </c>
      <c r="F6" s="24">
        <v>120000</v>
      </c>
      <c r="G6" s="16"/>
      <c r="H6" s="19">
        <v>10610000</v>
      </c>
      <c r="I6" s="16">
        <v>120000</v>
      </c>
      <c r="J6" s="16">
        <v>91</v>
      </c>
      <c r="K6" s="19">
        <f>I6*J6</f>
        <v>10920000</v>
      </c>
      <c r="L6" s="17"/>
    </row>
    <row r="7" spans="1:12" s="11" customFormat="1" ht="13.9" customHeight="1" x14ac:dyDescent="0.2">
      <c r="A7" s="18"/>
      <c r="B7" s="84" t="s">
        <v>129</v>
      </c>
      <c r="C7" s="125">
        <v>9000</v>
      </c>
      <c r="D7" s="125">
        <v>99</v>
      </c>
      <c r="E7" s="126">
        <v>891000</v>
      </c>
      <c r="F7" s="24"/>
      <c r="G7" s="16"/>
      <c r="H7" s="19">
        <v>0</v>
      </c>
      <c r="I7" s="16"/>
      <c r="J7" s="16"/>
      <c r="K7" s="19"/>
      <c r="L7" s="17"/>
    </row>
    <row r="8" spans="1:12" s="11" customFormat="1" ht="13.9" customHeight="1" x14ac:dyDescent="0.2">
      <c r="A8" s="18"/>
      <c r="B8" s="84" t="s">
        <v>11</v>
      </c>
      <c r="C8" s="125">
        <v>30000</v>
      </c>
      <c r="D8" s="125">
        <v>5</v>
      </c>
      <c r="E8" s="126">
        <v>150000</v>
      </c>
      <c r="F8" s="24"/>
      <c r="G8" s="16"/>
      <c r="H8" s="19">
        <v>0</v>
      </c>
      <c r="I8" s="16"/>
      <c r="J8" s="16"/>
      <c r="K8" s="19"/>
      <c r="L8" s="20"/>
    </row>
    <row r="9" spans="1:12" s="11" customFormat="1" ht="13.9" customHeight="1" x14ac:dyDescent="0.2">
      <c r="A9" s="18"/>
      <c r="B9" s="84" t="s">
        <v>12</v>
      </c>
      <c r="C9" s="125">
        <v>10000</v>
      </c>
      <c r="D9" s="125">
        <v>30</v>
      </c>
      <c r="E9" s="126">
        <v>300000</v>
      </c>
      <c r="F9" s="24"/>
      <c r="G9" s="16"/>
      <c r="H9" s="19">
        <v>0</v>
      </c>
      <c r="I9" s="16"/>
      <c r="J9" s="16"/>
      <c r="K9" s="19"/>
      <c r="L9" s="20"/>
    </row>
    <row r="10" spans="1:12" s="11" customFormat="1" ht="13.9" customHeight="1" x14ac:dyDescent="0.2">
      <c r="A10" s="18" t="s">
        <v>13</v>
      </c>
      <c r="B10" s="84" t="s">
        <v>128</v>
      </c>
      <c r="C10" s="125"/>
      <c r="D10" s="125"/>
      <c r="E10" s="126"/>
      <c r="F10" s="24"/>
      <c r="G10" s="16"/>
      <c r="H10" s="19">
        <v>0</v>
      </c>
      <c r="I10" s="16"/>
      <c r="J10" s="16"/>
      <c r="K10" s="19"/>
      <c r="L10" s="21"/>
    </row>
    <row r="11" spans="1:12" s="11" customFormat="1" ht="13.9" customHeight="1" x14ac:dyDescent="0.2">
      <c r="A11" s="18"/>
      <c r="B11" s="84" t="s">
        <v>110</v>
      </c>
      <c r="C11" s="125">
        <v>10000</v>
      </c>
      <c r="D11" s="125">
        <v>7</v>
      </c>
      <c r="E11" s="126">
        <v>70000</v>
      </c>
      <c r="F11" s="24"/>
      <c r="G11" s="16"/>
      <c r="H11" s="19">
        <v>0</v>
      </c>
      <c r="I11" s="16"/>
      <c r="J11" s="16"/>
      <c r="K11" s="19"/>
      <c r="L11" s="21"/>
    </row>
    <row r="12" spans="1:12" s="11" customFormat="1" ht="13.9" customHeight="1" x14ac:dyDescent="0.2">
      <c r="A12" s="18"/>
      <c r="B12" s="84" t="s">
        <v>111</v>
      </c>
      <c r="C12" s="125"/>
      <c r="D12" s="125"/>
      <c r="E12" s="126">
        <v>1510000</v>
      </c>
      <c r="F12" s="24"/>
      <c r="G12" s="16"/>
      <c r="H12" s="19">
        <v>0</v>
      </c>
      <c r="I12" s="16"/>
      <c r="J12" s="16"/>
      <c r="K12" s="19"/>
      <c r="L12" s="78" t="s">
        <v>14</v>
      </c>
    </row>
    <row r="13" spans="1:12" s="11" customFormat="1" ht="13.9" customHeight="1" x14ac:dyDescent="0.2">
      <c r="A13" s="22" t="s">
        <v>15</v>
      </c>
      <c r="B13" s="85" t="s">
        <v>16</v>
      </c>
      <c r="C13" s="125"/>
      <c r="D13" s="125"/>
      <c r="E13" s="126">
        <v>2330000</v>
      </c>
      <c r="F13" s="24"/>
      <c r="G13" s="16"/>
      <c r="H13" s="19">
        <v>0</v>
      </c>
      <c r="I13" s="16"/>
      <c r="J13" s="16"/>
      <c r="K13" s="19"/>
      <c r="L13" s="78" t="s">
        <v>17</v>
      </c>
    </row>
    <row r="14" spans="1:12" s="11" customFormat="1" ht="13.9" customHeight="1" x14ac:dyDescent="0.2">
      <c r="A14" s="18"/>
      <c r="B14" s="85" t="s">
        <v>154</v>
      </c>
      <c r="C14" s="125"/>
      <c r="D14" s="125"/>
      <c r="E14" s="126"/>
      <c r="F14" s="24"/>
      <c r="G14" s="16"/>
      <c r="H14" s="19">
        <v>205000</v>
      </c>
      <c r="I14" s="16"/>
      <c r="J14" s="16"/>
      <c r="K14" s="19"/>
      <c r="L14" s="17"/>
    </row>
    <row r="15" spans="1:12" s="11" customFormat="1" ht="13.9" customHeight="1" x14ac:dyDescent="0.2">
      <c r="A15" s="18"/>
      <c r="B15" s="85" t="s">
        <v>164</v>
      </c>
      <c r="C15" s="125"/>
      <c r="D15" s="125"/>
      <c r="E15" s="126">
        <v>100000</v>
      </c>
      <c r="F15" s="24"/>
      <c r="G15" s="16"/>
      <c r="H15" s="19"/>
      <c r="I15" s="16"/>
      <c r="J15" s="16"/>
      <c r="K15" s="19"/>
      <c r="L15" s="17"/>
    </row>
    <row r="16" spans="1:12" s="11" customFormat="1" ht="13.9" customHeight="1" x14ac:dyDescent="0.2">
      <c r="A16" s="18"/>
      <c r="B16" s="85" t="s">
        <v>131</v>
      </c>
      <c r="C16" s="125"/>
      <c r="D16" s="125"/>
      <c r="E16" s="126">
        <v>100000</v>
      </c>
      <c r="F16" s="24"/>
      <c r="G16" s="16"/>
      <c r="H16" s="19">
        <v>0</v>
      </c>
      <c r="I16" s="16"/>
      <c r="J16" s="16"/>
      <c r="K16" s="19"/>
      <c r="L16" s="17"/>
    </row>
    <row r="17" spans="1:12" s="11" customFormat="1" ht="13.9" customHeight="1" x14ac:dyDescent="0.2">
      <c r="A17" s="18" t="s">
        <v>18</v>
      </c>
      <c r="B17" s="86" t="s">
        <v>19</v>
      </c>
      <c r="C17" s="127"/>
      <c r="D17" s="127"/>
      <c r="E17" s="79">
        <v>1000</v>
      </c>
      <c r="F17" s="24"/>
      <c r="G17" s="16"/>
      <c r="H17" s="19">
        <v>1000</v>
      </c>
      <c r="I17" s="16"/>
      <c r="J17" s="16"/>
      <c r="K17" s="19">
        <v>1000</v>
      </c>
      <c r="L17" s="17" t="s">
        <v>20</v>
      </c>
    </row>
    <row r="18" spans="1:12" s="11" customFormat="1" ht="13.9" customHeight="1" x14ac:dyDescent="0.2">
      <c r="A18" s="18"/>
      <c r="B18" s="85" t="s">
        <v>21</v>
      </c>
      <c r="C18" s="125"/>
      <c r="D18" s="125"/>
      <c r="E18" s="126">
        <v>140000</v>
      </c>
      <c r="F18" s="24"/>
      <c r="G18" s="16"/>
      <c r="H18" s="19">
        <v>140000</v>
      </c>
      <c r="I18" s="16"/>
      <c r="J18" s="16"/>
      <c r="K18" s="19">
        <v>140000</v>
      </c>
      <c r="L18" s="27"/>
    </row>
    <row r="19" spans="1:12" s="11" customFormat="1" ht="13.9" customHeight="1" x14ac:dyDescent="0.2">
      <c r="A19" s="18"/>
      <c r="B19" s="85" t="s">
        <v>22</v>
      </c>
      <c r="C19" s="125"/>
      <c r="D19" s="125"/>
      <c r="E19" s="126">
        <v>200000</v>
      </c>
      <c r="F19" s="24"/>
      <c r="G19" s="16"/>
      <c r="H19" s="19">
        <v>200000</v>
      </c>
      <c r="I19" s="16"/>
      <c r="J19" s="16"/>
      <c r="K19" s="19">
        <v>200000</v>
      </c>
      <c r="L19" s="17"/>
    </row>
    <row r="20" spans="1:12" s="11" customFormat="1" ht="13.9" customHeight="1" x14ac:dyDescent="0.2">
      <c r="A20" s="18"/>
      <c r="B20" s="85" t="s">
        <v>23</v>
      </c>
      <c r="C20" s="125">
        <v>10000</v>
      </c>
      <c r="D20" s="125">
        <v>23</v>
      </c>
      <c r="E20" s="126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20"/>
    </row>
    <row r="21" spans="1:12" s="11" customFormat="1" ht="13.9" customHeight="1" x14ac:dyDescent="0.2">
      <c r="A21" s="18"/>
      <c r="B21" s="85" t="s">
        <v>25</v>
      </c>
      <c r="C21" s="125"/>
      <c r="D21" s="125"/>
      <c r="E21" s="126">
        <v>120000</v>
      </c>
      <c r="F21" s="24"/>
      <c r="G21" s="16"/>
      <c r="H21" s="19">
        <v>120000</v>
      </c>
      <c r="I21" s="16"/>
      <c r="J21" s="16"/>
      <c r="K21" s="19">
        <v>120000</v>
      </c>
      <c r="L21" s="17"/>
    </row>
    <row r="22" spans="1:12" s="11" customFormat="1" ht="13.9" customHeight="1" x14ac:dyDescent="0.2">
      <c r="A22" s="18"/>
      <c r="B22" s="85" t="s">
        <v>155</v>
      </c>
      <c r="C22" s="125"/>
      <c r="D22" s="125"/>
      <c r="E22" s="126"/>
      <c r="F22" s="24"/>
      <c r="G22" s="16"/>
      <c r="H22" s="19">
        <v>100000</v>
      </c>
      <c r="I22" s="16"/>
      <c r="J22" s="16"/>
      <c r="K22" s="19"/>
      <c r="L22" s="17"/>
    </row>
    <row r="23" spans="1:12" s="11" customFormat="1" ht="13.9" customHeight="1" x14ac:dyDescent="0.2">
      <c r="A23" s="18"/>
      <c r="B23" s="85" t="s">
        <v>26</v>
      </c>
      <c r="C23" s="125"/>
      <c r="D23" s="125"/>
      <c r="E23" s="126">
        <v>35000</v>
      </c>
      <c r="F23" s="24"/>
      <c r="G23" s="16"/>
      <c r="H23" s="19">
        <v>35000</v>
      </c>
      <c r="I23" s="16"/>
      <c r="J23" s="16"/>
      <c r="K23" s="19">
        <v>35000</v>
      </c>
      <c r="L23" s="74" t="s">
        <v>138</v>
      </c>
    </row>
    <row r="24" spans="1:12" s="11" customFormat="1" ht="13.9" customHeight="1" x14ac:dyDescent="0.2">
      <c r="A24" s="29" t="s">
        <v>27</v>
      </c>
      <c r="B24" s="87" t="s">
        <v>28</v>
      </c>
      <c r="C24" s="127"/>
      <c r="D24" s="127"/>
      <c r="E24" s="126">
        <v>1000000</v>
      </c>
      <c r="F24" s="24"/>
      <c r="G24" s="16"/>
      <c r="H24" s="19">
        <v>0</v>
      </c>
      <c r="I24" s="16"/>
      <c r="J24" s="16"/>
      <c r="K24" s="19"/>
      <c r="L24" s="17"/>
    </row>
    <row r="25" spans="1:12" s="11" customFormat="1" ht="13.9" customHeight="1" x14ac:dyDescent="0.2">
      <c r="A25" s="31"/>
      <c r="B25" s="88" t="s">
        <v>29</v>
      </c>
      <c r="C25" s="128"/>
      <c r="D25" s="129"/>
      <c r="E25" s="80"/>
      <c r="F25" s="41"/>
      <c r="G25" s="24"/>
      <c r="H25" s="19">
        <v>0</v>
      </c>
      <c r="I25" s="34"/>
      <c r="J25" s="24"/>
      <c r="K25" s="19">
        <v>500000</v>
      </c>
      <c r="L25" s="17" t="s">
        <v>179</v>
      </c>
    </row>
    <row r="26" spans="1:12" s="11" customFormat="1" ht="16.899999999999999" customHeight="1" x14ac:dyDescent="0.2">
      <c r="A26" s="170" t="s">
        <v>30</v>
      </c>
      <c r="B26" s="167"/>
      <c r="C26" s="130"/>
      <c r="D26" s="131"/>
      <c r="E26" s="132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12836000</v>
      </c>
      <c r="L26" s="17"/>
    </row>
    <row r="27" spans="1:12" s="11" customFormat="1" ht="16.899999999999999" customHeight="1" x14ac:dyDescent="0.2">
      <c r="A27" s="166" t="s">
        <v>31</v>
      </c>
      <c r="B27" s="167"/>
      <c r="C27" s="133"/>
      <c r="D27" s="134"/>
      <c r="E27" s="135">
        <v>2570892</v>
      </c>
      <c r="F27" s="38"/>
      <c r="G27" s="39"/>
      <c r="H27" s="60">
        <v>2806717</v>
      </c>
      <c r="I27" s="40"/>
      <c r="J27" s="39"/>
      <c r="K27" s="60">
        <v>1500000</v>
      </c>
      <c r="L27" s="155" t="s">
        <v>163</v>
      </c>
    </row>
    <row r="28" spans="1:12" s="11" customFormat="1" ht="16.899999999999999" customHeight="1" x14ac:dyDescent="0.2">
      <c r="A28" s="166" t="s">
        <v>33</v>
      </c>
      <c r="B28" s="167"/>
      <c r="C28" s="136"/>
      <c r="D28" s="137"/>
      <c r="E28" s="138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14336000</v>
      </c>
      <c r="L28" s="45"/>
    </row>
    <row r="29" spans="1:12" s="11" customFormat="1" x14ac:dyDescent="0.2">
      <c r="A29" s="46"/>
      <c r="B29" s="46"/>
      <c r="C29" s="46"/>
      <c r="D29" s="46"/>
      <c r="E29" s="46"/>
      <c r="F29" s="47"/>
      <c r="G29" s="24"/>
      <c r="H29" s="24"/>
      <c r="I29" s="24"/>
      <c r="J29" s="24"/>
      <c r="K29" s="24"/>
      <c r="L29" s="48"/>
    </row>
    <row r="30" spans="1:12" s="11" customFormat="1" x14ac:dyDescent="0.2">
      <c r="A30" s="49" t="s">
        <v>34</v>
      </c>
      <c r="B30" s="50"/>
      <c r="C30" s="50"/>
      <c r="D30" s="50"/>
      <c r="E30" s="50"/>
      <c r="F30" s="51"/>
      <c r="G30" s="24"/>
      <c r="H30" s="24"/>
      <c r="I30" s="24"/>
      <c r="J30" s="24"/>
      <c r="K30" s="24"/>
      <c r="L30" s="52"/>
    </row>
    <row r="31" spans="1:12" s="11" customFormat="1" ht="30" customHeight="1" x14ac:dyDescent="0.2">
      <c r="A31" s="53" t="str">
        <f>A4</f>
        <v>項　目</v>
      </c>
      <c r="B31" s="53" t="str">
        <f>B4</f>
        <v>勘 定 科 目</v>
      </c>
      <c r="C31" s="53" t="s">
        <v>165</v>
      </c>
      <c r="D31" s="53" t="s">
        <v>166</v>
      </c>
      <c r="E31" s="139" t="s">
        <v>167</v>
      </c>
      <c r="F31" s="54" t="str">
        <f>F4</f>
        <v>単価</v>
      </c>
      <c r="G31" s="54" t="str">
        <f>G4</f>
        <v>人員</v>
      </c>
      <c r="H31" s="9" t="str">
        <f>H4</f>
        <v>2020年　　　　　　　　　　　　　　　　　　補正後予算額</v>
      </c>
      <c r="I31" s="7" t="s">
        <v>4</v>
      </c>
      <c r="J31" s="157" t="s">
        <v>5</v>
      </c>
      <c r="K31" s="159" t="str">
        <f>K4</f>
        <v>2021年　　　　　　　　　　　　　　　　　　　予算額</v>
      </c>
      <c r="L31" s="10" t="s">
        <v>6</v>
      </c>
    </row>
    <row r="32" spans="1:12" s="11" customFormat="1" ht="13.9" customHeight="1" x14ac:dyDescent="0.2">
      <c r="A32" s="164" t="s">
        <v>35</v>
      </c>
      <c r="B32" s="55" t="s">
        <v>36</v>
      </c>
      <c r="C32" s="123">
        <v>1690</v>
      </c>
      <c r="D32" s="123"/>
      <c r="E32" s="123">
        <v>180830</v>
      </c>
      <c r="F32" s="14">
        <v>1621</v>
      </c>
      <c r="G32" s="35"/>
      <c r="H32" s="19">
        <v>162812</v>
      </c>
      <c r="I32" s="36">
        <v>1573</v>
      </c>
      <c r="J32" s="35">
        <v>91</v>
      </c>
      <c r="K32" s="19">
        <f>I32*J32</f>
        <v>143143</v>
      </c>
      <c r="L32" s="17" t="s">
        <v>178</v>
      </c>
    </row>
    <row r="33" spans="1:12" s="11" customFormat="1" ht="13.9" customHeight="1" x14ac:dyDescent="0.2">
      <c r="A33" s="165"/>
      <c r="B33" s="23" t="s">
        <v>37</v>
      </c>
      <c r="C33" s="140"/>
      <c r="D33" s="140"/>
      <c r="E33" s="140">
        <v>60000</v>
      </c>
      <c r="F33" s="57"/>
      <c r="G33" s="57"/>
      <c r="H33" s="19">
        <v>60000</v>
      </c>
      <c r="I33" s="34"/>
      <c r="J33" s="57"/>
      <c r="K33" s="19">
        <v>60000</v>
      </c>
      <c r="L33" s="17" t="s">
        <v>150</v>
      </c>
    </row>
    <row r="34" spans="1:12" s="11" customFormat="1" ht="13.9" customHeight="1" x14ac:dyDescent="0.2">
      <c r="A34" s="165"/>
      <c r="B34" s="26" t="s">
        <v>38</v>
      </c>
      <c r="C34" s="125">
        <v>5000</v>
      </c>
      <c r="D34" s="125"/>
      <c r="E34" s="125">
        <v>535000</v>
      </c>
      <c r="F34" s="25">
        <v>5000</v>
      </c>
      <c r="G34" s="57"/>
      <c r="H34" s="19">
        <v>505000</v>
      </c>
      <c r="I34" s="25">
        <v>5000</v>
      </c>
      <c r="J34" s="57">
        <v>91</v>
      </c>
      <c r="K34" s="19">
        <f>I34*J34</f>
        <v>455000</v>
      </c>
      <c r="L34" s="17"/>
    </row>
    <row r="35" spans="1:12" s="11" customFormat="1" ht="13.9" customHeight="1" x14ac:dyDescent="0.2">
      <c r="A35" s="165"/>
      <c r="B35" s="26" t="s">
        <v>39</v>
      </c>
      <c r="C35" s="125">
        <v>1825</v>
      </c>
      <c r="D35" s="125"/>
      <c r="E35" s="125">
        <v>195275</v>
      </c>
      <c r="F35" s="25">
        <v>1825</v>
      </c>
      <c r="G35" s="57"/>
      <c r="H35" s="19">
        <v>184325</v>
      </c>
      <c r="I35" s="25">
        <v>1825</v>
      </c>
      <c r="J35" s="57">
        <v>91</v>
      </c>
      <c r="K35" s="19">
        <f t="shared" ref="K35:K40" si="0">I35*J35</f>
        <v>166075</v>
      </c>
      <c r="L35" s="17"/>
    </row>
    <row r="36" spans="1:12" s="11" customFormat="1" ht="13.9" customHeight="1" x14ac:dyDescent="0.2">
      <c r="A36" s="165"/>
      <c r="B36" s="26" t="s">
        <v>40</v>
      </c>
      <c r="C36" s="125">
        <v>3000</v>
      </c>
      <c r="D36" s="125"/>
      <c r="E36" s="125">
        <v>321000</v>
      </c>
      <c r="F36" s="25">
        <v>3000</v>
      </c>
      <c r="G36" s="57"/>
      <c r="H36" s="19">
        <v>303000</v>
      </c>
      <c r="I36" s="25">
        <v>3000</v>
      </c>
      <c r="J36" s="57">
        <v>91</v>
      </c>
      <c r="K36" s="19">
        <f t="shared" si="0"/>
        <v>273000</v>
      </c>
      <c r="L36" s="17"/>
    </row>
    <row r="37" spans="1:12" s="11" customFormat="1" ht="13.9" customHeight="1" x14ac:dyDescent="0.2">
      <c r="A37" s="165"/>
      <c r="B37" s="26" t="s">
        <v>41</v>
      </c>
      <c r="C37" s="125">
        <v>4000</v>
      </c>
      <c r="D37" s="125"/>
      <c r="E37" s="125">
        <v>428000</v>
      </c>
      <c r="F37" s="25">
        <v>4000</v>
      </c>
      <c r="G37" s="57"/>
      <c r="H37" s="19">
        <v>404000</v>
      </c>
      <c r="I37" s="25">
        <v>4000</v>
      </c>
      <c r="J37" s="57">
        <v>91</v>
      </c>
      <c r="K37" s="19">
        <f t="shared" si="0"/>
        <v>364000</v>
      </c>
      <c r="L37" s="20" t="s">
        <v>42</v>
      </c>
    </row>
    <row r="38" spans="1:12" s="11" customFormat="1" ht="13.9" customHeight="1" x14ac:dyDescent="0.2">
      <c r="A38" s="165"/>
      <c r="B38" s="26" t="s">
        <v>43</v>
      </c>
      <c r="C38" s="125"/>
      <c r="D38" s="125"/>
      <c r="E38" s="125">
        <v>30000</v>
      </c>
      <c r="F38" s="25"/>
      <c r="G38" s="57"/>
      <c r="H38" s="19">
        <v>0</v>
      </c>
      <c r="I38" s="25"/>
      <c r="J38" s="57"/>
      <c r="K38" s="19">
        <v>30000</v>
      </c>
      <c r="L38" s="17"/>
    </row>
    <row r="39" spans="1:12" s="11" customFormat="1" ht="13.9" customHeight="1" x14ac:dyDescent="0.2">
      <c r="A39" s="165"/>
      <c r="B39" s="26" t="s">
        <v>44</v>
      </c>
      <c r="C39" s="125">
        <v>3500</v>
      </c>
      <c r="D39" s="125"/>
      <c r="E39" s="125">
        <v>374500</v>
      </c>
      <c r="F39" s="25">
        <v>3500</v>
      </c>
      <c r="G39" s="57"/>
      <c r="H39" s="19">
        <v>353500</v>
      </c>
      <c r="I39" s="25">
        <v>3500</v>
      </c>
      <c r="J39" s="57">
        <v>91</v>
      </c>
      <c r="K39" s="19">
        <f t="shared" si="0"/>
        <v>318500</v>
      </c>
      <c r="L39" s="17"/>
    </row>
    <row r="40" spans="1:12" s="11" customFormat="1" ht="13.9" customHeight="1" x14ac:dyDescent="0.2">
      <c r="A40" s="165"/>
      <c r="B40" s="26" t="s">
        <v>45</v>
      </c>
      <c r="C40" s="125">
        <v>20000</v>
      </c>
      <c r="D40" s="125">
        <v>8</v>
      </c>
      <c r="E40" s="125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17"/>
    </row>
    <row r="41" spans="1:12" s="11" customFormat="1" ht="13.9" customHeight="1" x14ac:dyDescent="0.2">
      <c r="A41" s="165"/>
      <c r="B41" s="26" t="s">
        <v>46</v>
      </c>
      <c r="C41" s="125"/>
      <c r="D41" s="125"/>
      <c r="E41" s="125"/>
      <c r="F41" s="25"/>
      <c r="G41" s="57"/>
      <c r="H41" s="19">
        <v>0</v>
      </c>
      <c r="I41" s="34"/>
      <c r="J41" s="57"/>
      <c r="K41" s="19"/>
      <c r="L41" s="17"/>
    </row>
    <row r="42" spans="1:12" s="11" customFormat="1" ht="13.9" customHeight="1" x14ac:dyDescent="0.2">
      <c r="A42" s="165"/>
      <c r="B42" s="26" t="s">
        <v>47</v>
      </c>
      <c r="C42" s="125">
        <v>10000</v>
      </c>
      <c r="D42" s="125">
        <v>23</v>
      </c>
      <c r="E42" s="125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17"/>
    </row>
    <row r="43" spans="1:12" s="11" customFormat="1" ht="16.899999999999999" customHeight="1" x14ac:dyDescent="0.2">
      <c r="A43" s="163"/>
      <c r="B43" s="58" t="s">
        <v>48</v>
      </c>
      <c r="C43" s="58"/>
      <c r="D43" s="58"/>
      <c r="E43" s="141">
        <f>SUM(E32:E42)</f>
        <v>2514605</v>
      </c>
      <c r="F43" s="59"/>
      <c r="G43" s="39"/>
      <c r="H43" s="60">
        <f>SUM(H32:H42)</f>
        <v>2202637</v>
      </c>
      <c r="I43" s="40"/>
      <c r="J43" s="38"/>
      <c r="K43" s="61">
        <f>SUM(K32:K42)</f>
        <v>2009718</v>
      </c>
      <c r="L43" s="17"/>
    </row>
    <row r="44" spans="1:12" s="11" customFormat="1" ht="13.9" customHeight="1" x14ac:dyDescent="0.2">
      <c r="A44" s="164" t="s">
        <v>49</v>
      </c>
      <c r="B44" s="75" t="s">
        <v>50</v>
      </c>
      <c r="C44" s="142"/>
      <c r="D44" s="142"/>
      <c r="E44" s="142">
        <v>1550000</v>
      </c>
      <c r="F44" s="57"/>
      <c r="G44" s="57"/>
      <c r="H44" s="19">
        <v>1550000</v>
      </c>
      <c r="I44" s="34"/>
      <c r="J44" s="57"/>
      <c r="K44" s="19">
        <v>1680000</v>
      </c>
      <c r="L44" s="64"/>
    </row>
    <row r="45" spans="1:12" s="11" customFormat="1" ht="13.9" customHeight="1" x14ac:dyDescent="0.2">
      <c r="A45" s="165"/>
      <c r="B45" s="30" t="s">
        <v>51</v>
      </c>
      <c r="C45" s="142"/>
      <c r="D45" s="142"/>
      <c r="E45" s="142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1" customFormat="1" ht="13.9" customHeight="1" x14ac:dyDescent="0.2">
      <c r="A46" s="165"/>
      <c r="B46" s="30" t="s">
        <v>52</v>
      </c>
      <c r="C46" s="142"/>
      <c r="D46" s="142"/>
      <c r="E46" s="142">
        <v>600000</v>
      </c>
      <c r="F46" s="57"/>
      <c r="G46" s="57"/>
      <c r="H46" s="19">
        <v>500000</v>
      </c>
      <c r="I46" s="34"/>
      <c r="J46" s="57"/>
      <c r="K46" s="19">
        <v>500000</v>
      </c>
      <c r="L46" s="17" t="s">
        <v>140</v>
      </c>
    </row>
    <row r="47" spans="1:12" s="11" customFormat="1" ht="13.9" customHeight="1" x14ac:dyDescent="0.2">
      <c r="A47" s="165"/>
      <c r="B47" s="30" t="s">
        <v>53</v>
      </c>
      <c r="C47" s="142"/>
      <c r="D47" s="142"/>
      <c r="E47" s="142">
        <v>250000</v>
      </c>
      <c r="F47" s="57"/>
      <c r="G47" s="57"/>
      <c r="H47" s="19">
        <v>112560</v>
      </c>
      <c r="I47" s="34"/>
      <c r="J47" s="57"/>
      <c r="K47" s="19">
        <v>112560</v>
      </c>
      <c r="L47" s="17" t="s">
        <v>54</v>
      </c>
    </row>
    <row r="48" spans="1:12" s="11" customFormat="1" ht="13.9" customHeight="1" x14ac:dyDescent="0.2">
      <c r="A48" s="165"/>
      <c r="B48" s="30" t="s">
        <v>55</v>
      </c>
      <c r="C48" s="142"/>
      <c r="D48" s="142"/>
      <c r="E48" s="142">
        <v>1550000</v>
      </c>
      <c r="F48" s="57"/>
      <c r="G48" s="57"/>
      <c r="H48" s="19">
        <v>1550000</v>
      </c>
      <c r="I48" s="34"/>
      <c r="J48" s="57"/>
      <c r="K48" s="19">
        <v>1550000</v>
      </c>
      <c r="L48" s="20" t="s">
        <v>124</v>
      </c>
    </row>
    <row r="49" spans="1:12" s="11" customFormat="1" ht="13.9" customHeight="1" x14ac:dyDescent="0.2">
      <c r="A49" s="165"/>
      <c r="B49" s="30" t="s">
        <v>56</v>
      </c>
      <c r="C49" s="142"/>
      <c r="D49" s="142"/>
      <c r="E49" s="142">
        <v>580000</v>
      </c>
      <c r="F49" s="57"/>
      <c r="G49" s="57"/>
      <c r="H49" s="19">
        <v>450000</v>
      </c>
      <c r="I49" s="34"/>
      <c r="J49" s="57"/>
      <c r="K49" s="19">
        <v>450000</v>
      </c>
      <c r="L49" s="20" t="s">
        <v>57</v>
      </c>
    </row>
    <row r="50" spans="1:12" s="11" customFormat="1" ht="13.9" customHeight="1" x14ac:dyDescent="0.2">
      <c r="A50" s="165"/>
      <c r="B50" s="30" t="s">
        <v>58</v>
      </c>
      <c r="C50" s="142"/>
      <c r="D50" s="142"/>
      <c r="E50" s="142">
        <v>650000</v>
      </c>
      <c r="F50" s="57"/>
      <c r="G50" s="57"/>
      <c r="H50" s="19">
        <v>650000</v>
      </c>
      <c r="I50" s="34"/>
      <c r="J50" s="57"/>
      <c r="K50" s="19">
        <v>650000</v>
      </c>
      <c r="L50" s="17" t="s">
        <v>125</v>
      </c>
    </row>
    <row r="51" spans="1:12" s="11" customFormat="1" ht="13.9" customHeight="1" x14ac:dyDescent="0.2">
      <c r="A51" s="165"/>
      <c r="B51" s="30" t="s">
        <v>59</v>
      </c>
      <c r="C51" s="142"/>
      <c r="D51" s="142"/>
      <c r="E51" s="142">
        <v>80000</v>
      </c>
      <c r="F51" s="57"/>
      <c r="G51" s="57"/>
      <c r="H51" s="19">
        <v>80000</v>
      </c>
      <c r="I51" s="34"/>
      <c r="J51" s="57"/>
      <c r="K51" s="19">
        <v>80000</v>
      </c>
      <c r="L51" s="17" t="s">
        <v>117</v>
      </c>
    </row>
    <row r="52" spans="1:12" s="11" customFormat="1" ht="13.9" customHeight="1" x14ac:dyDescent="0.2">
      <c r="A52" s="165"/>
      <c r="B52" s="30" t="s">
        <v>60</v>
      </c>
      <c r="C52" s="142"/>
      <c r="D52" s="142"/>
      <c r="E52" s="142">
        <v>94920</v>
      </c>
      <c r="F52" s="57"/>
      <c r="G52" s="57"/>
      <c r="H52" s="19">
        <v>94920</v>
      </c>
      <c r="I52" s="34"/>
      <c r="J52" s="57"/>
      <c r="K52" s="19">
        <v>144650</v>
      </c>
      <c r="L52" s="17" t="s">
        <v>61</v>
      </c>
    </row>
    <row r="53" spans="1:12" s="11" customFormat="1" ht="13.9" customHeight="1" x14ac:dyDescent="0.2">
      <c r="A53" s="165"/>
      <c r="B53" s="30" t="s">
        <v>62</v>
      </c>
      <c r="C53" s="142"/>
      <c r="D53" s="142"/>
      <c r="E53" s="142">
        <v>35000</v>
      </c>
      <c r="F53" s="57"/>
      <c r="G53" s="57"/>
      <c r="H53" s="19">
        <v>35000</v>
      </c>
      <c r="I53" s="34"/>
      <c r="J53" s="57"/>
      <c r="K53" s="19">
        <v>35000</v>
      </c>
      <c r="L53" s="17" t="s">
        <v>123</v>
      </c>
    </row>
    <row r="54" spans="1:12" s="11" customFormat="1" ht="13.9" customHeight="1" x14ac:dyDescent="0.2">
      <c r="A54" s="165"/>
      <c r="B54" s="32" t="s">
        <v>63</v>
      </c>
      <c r="C54" s="142"/>
      <c r="D54" s="142"/>
      <c r="E54" s="142">
        <v>81000</v>
      </c>
      <c r="F54" s="57"/>
      <c r="G54" s="57"/>
      <c r="H54" s="19">
        <v>81000</v>
      </c>
      <c r="I54" s="34"/>
      <c r="J54" s="57"/>
      <c r="K54" s="19">
        <v>81000</v>
      </c>
      <c r="L54" s="20" t="s">
        <v>64</v>
      </c>
    </row>
    <row r="55" spans="1:12" s="11" customFormat="1" ht="16.899999999999999" customHeight="1" x14ac:dyDescent="0.2">
      <c r="A55" s="163"/>
      <c r="B55" s="58" t="s">
        <v>65</v>
      </c>
      <c r="C55" s="141"/>
      <c r="D55" s="141"/>
      <c r="E55" s="141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5303210</v>
      </c>
      <c r="L55" s="17"/>
    </row>
    <row r="56" spans="1:12" s="11" customFormat="1" ht="13.9" customHeight="1" x14ac:dyDescent="0.2">
      <c r="A56" s="164" t="s">
        <v>66</v>
      </c>
      <c r="B56" s="62" t="s">
        <v>66</v>
      </c>
      <c r="C56" s="127"/>
      <c r="D56" s="127"/>
      <c r="E56" s="127">
        <v>100000</v>
      </c>
      <c r="F56" s="14"/>
      <c r="G56" s="14"/>
      <c r="H56" s="37">
        <v>100000</v>
      </c>
      <c r="I56" s="36"/>
      <c r="J56" s="35"/>
      <c r="K56" s="37">
        <v>100000</v>
      </c>
      <c r="L56" s="17" t="s">
        <v>67</v>
      </c>
    </row>
    <row r="57" spans="1:12" s="11" customFormat="1" ht="13.9" customHeight="1" x14ac:dyDescent="0.2">
      <c r="A57" s="165"/>
      <c r="B57" s="62" t="s">
        <v>68</v>
      </c>
      <c r="C57" s="127"/>
      <c r="D57" s="127"/>
      <c r="E57" s="127">
        <v>234576</v>
      </c>
      <c r="F57" s="16"/>
      <c r="G57" s="25"/>
      <c r="H57" s="56">
        <v>238920</v>
      </c>
      <c r="I57" s="34"/>
      <c r="J57" s="57"/>
      <c r="K57" s="56">
        <v>238920</v>
      </c>
      <c r="L57" s="17" t="s">
        <v>69</v>
      </c>
    </row>
    <row r="58" spans="1:12" s="11" customFormat="1" ht="13.9" customHeight="1" x14ac:dyDescent="0.2">
      <c r="A58" s="165"/>
      <c r="B58" s="62" t="s">
        <v>70</v>
      </c>
      <c r="C58" s="127"/>
      <c r="D58" s="127"/>
      <c r="E58" s="127">
        <v>280000</v>
      </c>
      <c r="F58" s="16"/>
      <c r="G58" s="25"/>
      <c r="H58" s="56">
        <v>380000</v>
      </c>
      <c r="I58" s="43"/>
      <c r="J58" s="57"/>
      <c r="K58" s="56">
        <v>280000</v>
      </c>
      <c r="L58" s="17" t="s">
        <v>162</v>
      </c>
    </row>
    <row r="59" spans="1:12" s="11" customFormat="1" ht="16.899999999999999" customHeight="1" x14ac:dyDescent="0.2">
      <c r="A59" s="163"/>
      <c r="B59" s="58" t="s">
        <v>71</v>
      </c>
      <c r="C59" s="141"/>
      <c r="D59" s="141"/>
      <c r="E59" s="141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17"/>
    </row>
    <row r="60" spans="1:12" s="11" customFormat="1" ht="13.9" customHeight="1" x14ac:dyDescent="0.2">
      <c r="A60" s="171" t="s">
        <v>72</v>
      </c>
      <c r="B60" s="65" t="s">
        <v>73</v>
      </c>
      <c r="C60" s="143"/>
      <c r="D60" s="143"/>
      <c r="E60" s="143">
        <v>216000</v>
      </c>
      <c r="F60" s="59"/>
      <c r="G60" s="39"/>
      <c r="H60" s="60">
        <v>220000</v>
      </c>
      <c r="I60" s="36"/>
      <c r="J60" s="57"/>
      <c r="K60" s="19">
        <v>220000</v>
      </c>
      <c r="L60" s="17"/>
    </row>
    <row r="61" spans="1:12" s="11" customFormat="1" ht="16.899999999999999" customHeight="1" x14ac:dyDescent="0.2">
      <c r="A61" s="172"/>
      <c r="B61" s="58" t="s">
        <v>74</v>
      </c>
      <c r="C61" s="141"/>
      <c r="D61" s="141"/>
      <c r="E61" s="141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v>100000</v>
      </c>
      <c r="L61" s="17" t="s">
        <v>119</v>
      </c>
    </row>
    <row r="62" spans="1:12" s="11" customFormat="1" ht="13.9" customHeight="1" x14ac:dyDescent="0.2">
      <c r="A62" s="171" t="s">
        <v>75</v>
      </c>
      <c r="B62" s="66" t="s">
        <v>76</v>
      </c>
      <c r="C62" s="144"/>
      <c r="D62" s="144"/>
      <c r="E62" s="144">
        <v>100000</v>
      </c>
      <c r="F62" s="59"/>
      <c r="G62" s="39"/>
      <c r="H62" s="60">
        <v>100000</v>
      </c>
      <c r="I62" s="34"/>
      <c r="J62" s="39"/>
      <c r="K62" s="19">
        <v>100000</v>
      </c>
      <c r="L62" s="17" t="s">
        <v>77</v>
      </c>
    </row>
    <row r="63" spans="1:12" s="11" customFormat="1" ht="16.899999999999999" customHeight="1" x14ac:dyDescent="0.2">
      <c r="A63" s="172"/>
      <c r="B63" s="58" t="s">
        <v>78</v>
      </c>
      <c r="C63" s="145"/>
      <c r="D63" s="145"/>
      <c r="E63" s="14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100000</v>
      </c>
      <c r="L63" s="17"/>
    </row>
    <row r="64" spans="1:12" s="11" customFormat="1" ht="13.9" customHeight="1" x14ac:dyDescent="0.2">
      <c r="A64" s="164" t="s">
        <v>79</v>
      </c>
      <c r="B64" s="62" t="s">
        <v>80</v>
      </c>
      <c r="C64" s="127"/>
      <c r="D64" s="127"/>
      <c r="E64" s="127">
        <v>494680</v>
      </c>
      <c r="F64" s="16"/>
      <c r="G64" s="25"/>
      <c r="H64" s="19">
        <v>494680</v>
      </c>
      <c r="I64" s="34"/>
      <c r="J64" s="57"/>
      <c r="K64" s="19">
        <v>494680</v>
      </c>
      <c r="L64" s="17" t="s">
        <v>81</v>
      </c>
    </row>
    <row r="65" spans="1:12" s="11" customFormat="1" ht="13.9" customHeight="1" x14ac:dyDescent="0.2">
      <c r="A65" s="165"/>
      <c r="B65" s="62" t="s">
        <v>82</v>
      </c>
      <c r="C65" s="127"/>
      <c r="D65" s="127"/>
      <c r="E65" s="127">
        <v>470000</v>
      </c>
      <c r="F65" s="16"/>
      <c r="G65" s="25"/>
      <c r="H65" s="19">
        <v>470000</v>
      </c>
      <c r="I65" s="34"/>
      <c r="J65" s="57"/>
      <c r="K65" s="19">
        <v>550000</v>
      </c>
      <c r="L65" s="154" t="s">
        <v>181</v>
      </c>
    </row>
    <row r="66" spans="1:12" s="11" customFormat="1" ht="16.899999999999999" customHeight="1" x14ac:dyDescent="0.2">
      <c r="A66" s="163"/>
      <c r="B66" s="58" t="s">
        <v>83</v>
      </c>
      <c r="C66" s="141"/>
      <c r="D66" s="141"/>
      <c r="E66" s="141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17"/>
    </row>
    <row r="67" spans="1:12" s="11" customFormat="1" ht="13.9" customHeight="1" x14ac:dyDescent="0.2">
      <c r="A67" s="164" t="s">
        <v>84</v>
      </c>
      <c r="B67" s="62" t="s">
        <v>84</v>
      </c>
      <c r="C67" s="127"/>
      <c r="D67" s="127"/>
      <c r="E67" s="127">
        <v>250000</v>
      </c>
      <c r="F67" s="13"/>
      <c r="G67" s="14"/>
      <c r="H67" s="19">
        <v>150000</v>
      </c>
      <c r="I67" s="34"/>
      <c r="J67" s="57"/>
      <c r="K67" s="19">
        <v>250000</v>
      </c>
      <c r="L67" s="17" t="s">
        <v>85</v>
      </c>
    </row>
    <row r="68" spans="1:12" s="11" customFormat="1" ht="13.9" customHeight="1" x14ac:dyDescent="0.2">
      <c r="A68" s="165"/>
      <c r="B68" s="62" t="s">
        <v>86</v>
      </c>
      <c r="C68" s="127"/>
      <c r="D68" s="127"/>
      <c r="E68" s="127">
        <v>120000</v>
      </c>
      <c r="F68" s="25"/>
      <c r="G68" s="25"/>
      <c r="H68" s="19">
        <v>120000</v>
      </c>
      <c r="I68" s="34"/>
      <c r="J68" s="57"/>
      <c r="K68" s="19">
        <v>120000</v>
      </c>
      <c r="L68" s="17" t="s">
        <v>135</v>
      </c>
    </row>
    <row r="69" spans="1:12" s="11" customFormat="1" ht="13.9" customHeight="1" x14ac:dyDescent="0.2">
      <c r="A69" s="165"/>
      <c r="B69" s="62" t="s">
        <v>87</v>
      </c>
      <c r="C69" s="127"/>
      <c r="D69" s="127"/>
      <c r="E69" s="127">
        <v>250000</v>
      </c>
      <c r="F69" s="25"/>
      <c r="G69" s="25"/>
      <c r="H69" s="19">
        <v>150000</v>
      </c>
      <c r="I69" s="34"/>
      <c r="J69" s="57"/>
      <c r="K69" s="19">
        <v>250000</v>
      </c>
      <c r="L69" s="17" t="s">
        <v>120</v>
      </c>
    </row>
    <row r="70" spans="1:12" s="11" customFormat="1" ht="13.9" customHeight="1" x14ac:dyDescent="0.2">
      <c r="A70" s="165"/>
      <c r="B70" s="62" t="s">
        <v>88</v>
      </c>
      <c r="C70" s="127"/>
      <c r="D70" s="127"/>
      <c r="E70" s="127">
        <v>40000</v>
      </c>
      <c r="F70" s="16"/>
      <c r="G70" s="25"/>
      <c r="H70" s="19">
        <v>40000</v>
      </c>
      <c r="I70" s="34"/>
      <c r="J70" s="57"/>
      <c r="K70" s="19">
        <v>40000</v>
      </c>
      <c r="L70" s="28" t="s">
        <v>89</v>
      </c>
    </row>
    <row r="71" spans="1:12" s="11" customFormat="1" ht="13.9" customHeight="1" x14ac:dyDescent="0.2">
      <c r="A71" s="165"/>
      <c r="B71" s="62" t="s">
        <v>90</v>
      </c>
      <c r="C71" s="127"/>
      <c r="D71" s="127"/>
      <c r="E71" s="127">
        <v>8000</v>
      </c>
      <c r="F71" s="16"/>
      <c r="G71" s="25"/>
      <c r="H71" s="19">
        <v>8000</v>
      </c>
      <c r="I71" s="34"/>
      <c r="J71" s="57"/>
      <c r="K71" s="19">
        <v>8000</v>
      </c>
      <c r="L71" s="17" t="s">
        <v>121</v>
      </c>
    </row>
    <row r="72" spans="1:12" s="11" customFormat="1" ht="16.899999999999999" customHeight="1" x14ac:dyDescent="0.2">
      <c r="A72" s="163"/>
      <c r="B72" s="58" t="s">
        <v>91</v>
      </c>
      <c r="C72" s="141"/>
      <c r="D72" s="141"/>
      <c r="E72" s="141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668000</v>
      </c>
      <c r="L72" s="17"/>
    </row>
    <row r="73" spans="1:12" s="11" customFormat="1" ht="13.9" customHeight="1" x14ac:dyDescent="0.2">
      <c r="A73" s="161" t="s">
        <v>92</v>
      </c>
      <c r="B73" s="17" t="s">
        <v>93</v>
      </c>
      <c r="C73" s="128"/>
      <c r="D73" s="128"/>
      <c r="E73" s="128">
        <v>0</v>
      </c>
      <c r="F73" s="176" t="s">
        <v>168</v>
      </c>
      <c r="G73" s="177"/>
      <c r="H73" s="19">
        <v>0</v>
      </c>
      <c r="I73" s="36"/>
      <c r="J73" s="57"/>
      <c r="K73" s="19">
        <v>0</v>
      </c>
      <c r="L73" s="17" t="s">
        <v>93</v>
      </c>
    </row>
    <row r="74" spans="1:12" s="11" customFormat="1" ht="13.9" customHeight="1" x14ac:dyDescent="0.2">
      <c r="A74" s="162"/>
      <c r="B74" s="20" t="s">
        <v>127</v>
      </c>
      <c r="C74" s="146"/>
      <c r="D74" s="146"/>
      <c r="E74" s="146">
        <v>4155000</v>
      </c>
      <c r="F74" s="174" t="s">
        <v>169</v>
      </c>
      <c r="G74" s="175"/>
      <c r="H74" s="19">
        <v>150000</v>
      </c>
      <c r="I74" s="34"/>
      <c r="J74" s="57"/>
      <c r="K74" s="19">
        <v>700000</v>
      </c>
      <c r="L74" s="20" t="s">
        <v>174</v>
      </c>
    </row>
    <row r="75" spans="1:12" s="11" customFormat="1" ht="13.9" customHeight="1" x14ac:dyDescent="0.2">
      <c r="A75" s="162"/>
      <c r="B75" s="17" t="s">
        <v>113</v>
      </c>
      <c r="C75" s="128"/>
      <c r="D75" s="128"/>
      <c r="E75" s="128">
        <v>296000</v>
      </c>
      <c r="F75" s="174" t="s">
        <v>170</v>
      </c>
      <c r="G75" s="175"/>
      <c r="H75" s="19">
        <v>110000</v>
      </c>
      <c r="I75" s="34"/>
      <c r="J75" s="57"/>
      <c r="K75" s="19">
        <v>300000</v>
      </c>
      <c r="L75" s="17" t="s">
        <v>177</v>
      </c>
    </row>
    <row r="76" spans="1:12" s="11" customFormat="1" ht="13.9" customHeight="1" x14ac:dyDescent="0.2">
      <c r="A76" s="162"/>
      <c r="B76" s="17" t="s">
        <v>94</v>
      </c>
      <c r="C76" s="128"/>
      <c r="D76" s="128"/>
      <c r="E76" s="128">
        <v>1946000</v>
      </c>
      <c r="F76" s="174" t="s">
        <v>171</v>
      </c>
      <c r="G76" s="175"/>
      <c r="H76" s="19">
        <v>550000</v>
      </c>
      <c r="I76" s="34"/>
      <c r="J76" s="57"/>
      <c r="K76" s="19">
        <v>300000</v>
      </c>
      <c r="L76" s="17" t="s">
        <v>143</v>
      </c>
    </row>
    <row r="77" spans="1:12" s="11" customFormat="1" ht="13.9" customHeight="1" x14ac:dyDescent="0.2">
      <c r="A77" s="162"/>
      <c r="B77" s="17" t="s">
        <v>114</v>
      </c>
      <c r="C77" s="128"/>
      <c r="D77" s="128"/>
      <c r="E77" s="128">
        <v>280000</v>
      </c>
      <c r="F77" s="174" t="s">
        <v>172</v>
      </c>
      <c r="G77" s="175"/>
      <c r="H77" s="19">
        <v>305000</v>
      </c>
      <c r="I77" s="34"/>
      <c r="J77" s="57"/>
      <c r="K77" s="19">
        <v>400000</v>
      </c>
      <c r="L77" s="17" t="s">
        <v>175</v>
      </c>
    </row>
    <row r="78" spans="1:12" s="11" customFormat="1" ht="13.9" customHeight="1" x14ac:dyDescent="0.2">
      <c r="A78" s="162"/>
      <c r="B78" s="17" t="s">
        <v>115</v>
      </c>
      <c r="C78" s="128"/>
      <c r="D78" s="128"/>
      <c r="E78" s="128">
        <v>152000</v>
      </c>
      <c r="F78" s="174" t="s">
        <v>173</v>
      </c>
      <c r="G78" s="175"/>
      <c r="H78" s="19">
        <v>100000</v>
      </c>
      <c r="I78" s="34"/>
      <c r="J78" s="57"/>
      <c r="K78" s="19">
        <v>150000</v>
      </c>
      <c r="L78" s="17" t="s">
        <v>176</v>
      </c>
    </row>
    <row r="79" spans="1:12" s="11" customFormat="1" ht="13.9" customHeight="1" x14ac:dyDescent="0.2">
      <c r="A79" s="162"/>
      <c r="B79" s="20" t="s">
        <v>137</v>
      </c>
      <c r="C79" s="146"/>
      <c r="D79" s="146"/>
      <c r="E79" s="146">
        <v>510500</v>
      </c>
      <c r="F79" s="152"/>
      <c r="G79" s="25"/>
      <c r="H79" s="19"/>
      <c r="I79" s="34"/>
      <c r="J79" s="57"/>
      <c r="K79" s="19"/>
      <c r="L79" s="20"/>
    </row>
    <row r="80" spans="1:12" s="11" customFormat="1" ht="13.9" customHeight="1" x14ac:dyDescent="0.2">
      <c r="A80" s="162"/>
      <c r="B80" s="20" t="s">
        <v>116</v>
      </c>
      <c r="C80" s="146"/>
      <c r="D80" s="146"/>
      <c r="E80" s="146">
        <v>335000</v>
      </c>
      <c r="F80" s="151"/>
      <c r="G80" s="25"/>
      <c r="H80" s="19"/>
      <c r="I80" s="34"/>
      <c r="J80" s="57"/>
      <c r="K80" s="19"/>
      <c r="L80" s="20"/>
    </row>
    <row r="81" spans="1:12" s="11" customFormat="1" ht="13.9" customHeight="1" x14ac:dyDescent="0.2">
      <c r="A81" s="165"/>
      <c r="B81" s="153"/>
      <c r="C81" s="146"/>
      <c r="D81" s="146"/>
      <c r="E81" s="146"/>
      <c r="F81" s="151"/>
      <c r="G81" s="25"/>
      <c r="H81" s="56"/>
      <c r="I81" s="34"/>
      <c r="J81" s="57"/>
      <c r="K81" s="19">
        <v>500000</v>
      </c>
      <c r="L81" s="20" t="s">
        <v>180</v>
      </c>
    </row>
    <row r="82" spans="1:12" s="11" customFormat="1" ht="16.899999999999999" customHeight="1" x14ac:dyDescent="0.2">
      <c r="A82" s="163"/>
      <c r="B82" s="73" t="s">
        <v>95</v>
      </c>
      <c r="C82" s="141"/>
      <c r="D82" s="141"/>
      <c r="E82" s="141">
        <f>SUM(E73:E80)</f>
        <v>7674500</v>
      </c>
      <c r="F82" s="59"/>
      <c r="G82" s="39"/>
      <c r="H82" s="60">
        <f>SUM(H73:H80)</f>
        <v>1215000</v>
      </c>
      <c r="I82" s="40"/>
      <c r="J82" s="38"/>
      <c r="K82" s="61">
        <f>SUM(K73:K81)</f>
        <v>2350000</v>
      </c>
      <c r="L82" s="17"/>
    </row>
    <row r="83" spans="1:12" s="11" customFormat="1" ht="13.9" customHeight="1" x14ac:dyDescent="0.2">
      <c r="A83" s="164" t="s">
        <v>96</v>
      </c>
      <c r="B83" s="62" t="s">
        <v>97</v>
      </c>
      <c r="C83" s="127">
        <v>3000</v>
      </c>
      <c r="D83" s="127">
        <v>94</v>
      </c>
      <c r="E83" s="127">
        <v>282000</v>
      </c>
      <c r="F83" s="16"/>
      <c r="G83" s="25"/>
      <c r="H83" s="56">
        <v>0</v>
      </c>
      <c r="I83" s="34">
        <v>3000</v>
      </c>
      <c r="J83" s="57">
        <v>91</v>
      </c>
      <c r="K83" s="19">
        <f>I83*J83</f>
        <v>273000</v>
      </c>
      <c r="L83" s="17"/>
    </row>
    <row r="84" spans="1:12" s="11" customFormat="1" ht="13.9" customHeight="1" x14ac:dyDescent="0.2">
      <c r="A84" s="165"/>
      <c r="B84" s="62" t="s">
        <v>98</v>
      </c>
      <c r="C84" s="127"/>
      <c r="D84" s="127"/>
      <c r="E84" s="127">
        <v>0</v>
      </c>
      <c r="F84" s="16"/>
      <c r="G84" s="25"/>
      <c r="H84" s="56">
        <v>0</v>
      </c>
      <c r="I84" s="34"/>
      <c r="J84" s="57"/>
      <c r="K84" s="19">
        <v>0</v>
      </c>
      <c r="L84" s="17"/>
    </row>
    <row r="85" spans="1:12" s="11" customFormat="1" ht="13.9" customHeight="1" x14ac:dyDescent="0.2">
      <c r="A85" s="165"/>
      <c r="B85" s="62" t="s">
        <v>99</v>
      </c>
      <c r="C85" s="127"/>
      <c r="D85" s="127"/>
      <c r="E85" s="127">
        <v>0</v>
      </c>
      <c r="F85" s="16"/>
      <c r="G85" s="25"/>
      <c r="H85" s="56">
        <v>0</v>
      </c>
      <c r="I85" s="34"/>
      <c r="J85" s="57"/>
      <c r="K85" s="19">
        <v>0</v>
      </c>
      <c r="L85" s="17" t="s">
        <v>100</v>
      </c>
    </row>
    <row r="86" spans="1:12" s="11" customFormat="1" ht="13.9" customHeight="1" x14ac:dyDescent="0.2">
      <c r="A86" s="165"/>
      <c r="B86" s="62" t="s">
        <v>101</v>
      </c>
      <c r="C86" s="127"/>
      <c r="D86" s="127"/>
      <c r="E86" s="127">
        <v>8000</v>
      </c>
      <c r="F86" s="16"/>
      <c r="G86" s="25"/>
      <c r="H86" s="56">
        <v>8000</v>
      </c>
      <c r="I86" s="34"/>
      <c r="J86" s="57"/>
      <c r="K86" s="19">
        <v>8000</v>
      </c>
      <c r="L86" s="17" t="s">
        <v>102</v>
      </c>
    </row>
    <row r="87" spans="1:12" s="11" customFormat="1" ht="16.899999999999999" customHeight="1" x14ac:dyDescent="0.2">
      <c r="A87" s="163"/>
      <c r="B87" s="58" t="s">
        <v>103</v>
      </c>
      <c r="C87" s="141"/>
      <c r="D87" s="141"/>
      <c r="E87" s="141">
        <f>SUM(E83:E86)</f>
        <v>290000</v>
      </c>
      <c r="F87" s="59"/>
      <c r="G87" s="59"/>
      <c r="H87" s="61">
        <f>SUM(H83:H86)</f>
        <v>8000</v>
      </c>
      <c r="I87" s="40"/>
      <c r="J87" s="38"/>
      <c r="K87" s="61">
        <f>SUM(K83:K86)</f>
        <v>281000</v>
      </c>
      <c r="L87" s="17"/>
    </row>
    <row r="88" spans="1:12" s="11" customFormat="1" ht="16.899999999999999" customHeight="1" x14ac:dyDescent="0.2">
      <c r="A88" s="164" t="s">
        <v>132</v>
      </c>
      <c r="B88" s="76" t="s">
        <v>133</v>
      </c>
      <c r="C88" s="147"/>
      <c r="D88" s="147"/>
      <c r="E88" s="149">
        <v>2110000</v>
      </c>
      <c r="F88" s="13"/>
      <c r="G88" s="13"/>
      <c r="H88" s="15"/>
      <c r="I88" s="36"/>
      <c r="J88" s="35"/>
      <c r="K88" s="15"/>
      <c r="L88" s="17"/>
    </row>
    <row r="89" spans="1:12" s="11" customFormat="1" ht="16.899999999999999" customHeight="1" x14ac:dyDescent="0.2">
      <c r="A89" s="163"/>
      <c r="B89" s="58" t="s">
        <v>134</v>
      </c>
      <c r="C89" s="148"/>
      <c r="D89" s="148"/>
      <c r="E89" s="148">
        <f>SUM(E88)</f>
        <v>2110000</v>
      </c>
      <c r="F89" s="13"/>
      <c r="G89" s="13"/>
      <c r="H89" s="15">
        <f>H88</f>
        <v>0</v>
      </c>
      <c r="I89" s="36"/>
      <c r="J89" s="35"/>
      <c r="K89" s="15">
        <f>K88</f>
        <v>0</v>
      </c>
      <c r="L89" s="17"/>
    </row>
    <row r="90" spans="1:12" s="11" customFormat="1" ht="13.9" customHeight="1" x14ac:dyDescent="0.2">
      <c r="A90" s="69" t="s">
        <v>104</v>
      </c>
      <c r="B90" s="65" t="s">
        <v>105</v>
      </c>
      <c r="C90" s="143"/>
      <c r="D90" s="143"/>
      <c r="E90" s="143"/>
      <c r="F90" s="13"/>
      <c r="G90" s="13"/>
      <c r="H90" s="15">
        <v>0</v>
      </c>
      <c r="I90" s="36"/>
      <c r="J90" s="35"/>
      <c r="K90" s="15">
        <v>0</v>
      </c>
      <c r="L90" s="17"/>
    </row>
    <row r="91" spans="1:12" s="11" customFormat="1" ht="13.9" customHeight="1" x14ac:dyDescent="0.2">
      <c r="A91" s="70"/>
      <c r="B91" s="32" t="s">
        <v>106</v>
      </c>
      <c r="C91" s="129"/>
      <c r="D91" s="129"/>
      <c r="E91" s="129">
        <v>1030000</v>
      </c>
      <c r="F91" s="33"/>
      <c r="G91" s="33"/>
      <c r="H91" s="42"/>
      <c r="I91" s="43"/>
      <c r="J91" s="41"/>
      <c r="K91" s="42">
        <v>0</v>
      </c>
      <c r="L91" s="78" t="s">
        <v>146</v>
      </c>
    </row>
    <row r="92" spans="1:12" s="11" customFormat="1" ht="16.899999999999999" customHeight="1" x14ac:dyDescent="0.2">
      <c r="A92" s="166" t="s">
        <v>107</v>
      </c>
      <c r="B92" s="167"/>
      <c r="C92" s="141"/>
      <c r="D92" s="141"/>
      <c r="E92" s="141">
        <f>SUM(E43,E55,E59,E61,E63,E66,E72,E82,E87,E90,E91,E89)</f>
        <v>21673281</v>
      </c>
      <c r="F92" s="59"/>
      <c r="G92" s="59"/>
      <c r="H92" s="61">
        <f>SUM(H43,H55,H59,H61,H63,H66,H72,H82,H87,H90,H91,H89)</f>
        <v>11020717</v>
      </c>
      <c r="I92" s="40"/>
      <c r="J92" s="38"/>
      <c r="K92" s="61">
        <f>SUM(K43,K55,K66,K59,K61,K63,K72,K82,K87)</f>
        <v>12475528</v>
      </c>
      <c r="L92" s="17"/>
    </row>
    <row r="93" spans="1:12" s="11" customFormat="1" ht="16.899999999999999" customHeight="1" x14ac:dyDescent="0.2">
      <c r="A93" s="166" t="s">
        <v>108</v>
      </c>
      <c r="B93" s="167"/>
      <c r="C93" s="141"/>
      <c r="D93" s="141"/>
      <c r="E93" s="150">
        <f>E26-E92</f>
        <v>-1246281</v>
      </c>
      <c r="F93" s="59"/>
      <c r="G93" s="59"/>
      <c r="H93" s="61">
        <f>H26-H92</f>
        <v>1380283</v>
      </c>
      <c r="I93" s="40"/>
      <c r="J93" s="38"/>
      <c r="K93" s="61">
        <f>K26-K92</f>
        <v>360472</v>
      </c>
      <c r="L93" s="71"/>
    </row>
    <row r="94" spans="1:12" s="11" customFormat="1" ht="16.899999999999999" customHeight="1" x14ac:dyDescent="0.2">
      <c r="A94" s="166" t="s">
        <v>109</v>
      </c>
      <c r="B94" s="167"/>
      <c r="C94" s="141"/>
      <c r="D94" s="141"/>
      <c r="E94" s="141">
        <f>E28-E92</f>
        <v>1324611</v>
      </c>
      <c r="F94" s="59"/>
      <c r="G94" s="59"/>
      <c r="H94" s="61">
        <f>H28-H92</f>
        <v>4187000</v>
      </c>
      <c r="I94" s="40"/>
      <c r="J94" s="38"/>
      <c r="K94" s="61">
        <f>K28-K92</f>
        <v>1860472</v>
      </c>
      <c r="L94" s="72"/>
    </row>
  </sheetData>
  <mergeCells count="24">
    <mergeCell ref="F78:G78"/>
    <mergeCell ref="A73:A82"/>
    <mergeCell ref="A83:A87"/>
    <mergeCell ref="A88:A89"/>
    <mergeCell ref="A92:B92"/>
    <mergeCell ref="F73:G73"/>
    <mergeCell ref="F74:G74"/>
    <mergeCell ref="F75:G75"/>
    <mergeCell ref="F76:G76"/>
    <mergeCell ref="F77:G77"/>
    <mergeCell ref="A93:B93"/>
    <mergeCell ref="A94:B94"/>
    <mergeCell ref="A44:A55"/>
    <mergeCell ref="A56:A59"/>
    <mergeCell ref="A60:A61"/>
    <mergeCell ref="A62:A63"/>
    <mergeCell ref="A64:A66"/>
    <mergeCell ref="A67:A72"/>
    <mergeCell ref="A32:A43"/>
    <mergeCell ref="A1:L1"/>
    <mergeCell ref="A2:L2"/>
    <mergeCell ref="A26:B26"/>
    <mergeCell ref="A27:B27"/>
    <mergeCell ref="A28:B28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松並陽一</cp:lastModifiedBy>
  <cp:lastPrinted>2020-12-23T01:28:46Z</cp:lastPrinted>
  <dcterms:created xsi:type="dcterms:W3CDTF">2017-12-29T07:55:03Z</dcterms:created>
  <dcterms:modified xsi:type="dcterms:W3CDTF">2021-01-04T05:24:18Z</dcterms:modified>
</cp:coreProperties>
</file>