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高橋　佑輔\Dropbox\2021アジェンダ\理事会\01\singi\0991-14K-011S(1gatusoukai)\siryoh\sankoh\"/>
    </mc:Choice>
  </mc:AlternateContent>
  <xr:revisionPtr revIDLastSave="0" documentId="13_ncr:1_{469BC890-44E3-4A01-A350-EE519AD9BDCB}" xr6:coauthVersionLast="45" xr6:coauthVersionMax="45" xr10:uidLastSave="{00000000-0000-0000-0000-000000000000}"/>
  <bookViews>
    <workbookView xWindow="-120" yWindow="-120" windowWidth="29040" windowHeight="16440" xr2:uid="{00000000-000D-0000-FFFF-FFFF00000000}"/>
  </bookViews>
  <sheets>
    <sheet name="20211月通常総会" sheetId="1" r:id="rId1"/>
    <sheet name="20211月ハイブリッド総会" sheetId="2" r:id="rId2"/>
  </sheets>
  <definedNames>
    <definedName name="_xlnm.Print_Area" localSheetId="1">'20211月ハイブリッド総会'!$A$1:$H$111</definedName>
    <definedName name="_xlnm.Print_Area" localSheetId="0">'20211月通常総会'!$A$1:$G$118</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99" i="1" l="1"/>
  <c r="A91" i="1"/>
  <c r="A109" i="2"/>
  <c r="A108" i="2"/>
  <c r="A103" i="2"/>
  <c r="A104" i="2"/>
  <c r="A107" i="2"/>
  <c r="A107" i="1"/>
  <c r="A109" i="1"/>
  <c r="A110" i="1"/>
  <c r="A111" i="1"/>
  <c r="A114" i="1"/>
  <c r="A115" i="1"/>
  <c r="A116" i="1"/>
  <c r="A52" i="2"/>
  <c r="A53" i="2"/>
  <c r="A54" i="2"/>
  <c r="A55" i="2"/>
  <c r="A56" i="2"/>
  <c r="A57" i="2"/>
  <c r="A63" i="2"/>
  <c r="A64" i="2"/>
  <c r="A65" i="2"/>
  <c r="A66" i="2"/>
  <c r="A68" i="2"/>
  <c r="A72" i="2"/>
  <c r="A75" i="2"/>
  <c r="A78" i="2"/>
  <c r="A83" i="2"/>
  <c r="A92" i="2"/>
  <c r="A100" i="2"/>
  <c r="A102" i="2"/>
  <c r="A110" i="2"/>
  <c r="A42" i="2"/>
  <c r="A41" i="2"/>
  <c r="A40" i="2"/>
  <c r="G2" i="2"/>
  <c r="A51" i="1"/>
  <c r="A52" i="1"/>
  <c r="A53" i="1"/>
  <c r="A54" i="1"/>
  <c r="A55" i="1"/>
  <c r="A56" i="1"/>
  <c r="A62" i="1"/>
  <c r="A63" i="1"/>
  <c r="A64" i="1"/>
  <c r="G2" i="1"/>
  <c r="A65" i="1"/>
  <c r="A67" i="1"/>
  <c r="A71" i="1"/>
  <c r="A74" i="1"/>
  <c r="A77" i="1"/>
  <c r="A82" i="1"/>
  <c r="A117" i="1"/>
  <c r="A41" i="1"/>
  <c r="A40" i="1"/>
  <c r="A39" i="1"/>
</calcChain>
</file>

<file path=xl/sharedStrings.xml><?xml version="1.0" encoding="utf-8"?>
<sst xmlns="http://schemas.openxmlformats.org/spreadsheetml/2006/main" count="608" uniqueCount="237">
  <si>
    <t>●</t>
    <phoneticPr fontId="3"/>
  </si>
  <si>
    <t>【当日メンバー状況】</t>
    <rPh sb="1" eb="3">
      <t>ト</t>
    </rPh>
    <rPh sb="7" eb="9">
      <t>ジョウキョ</t>
    </rPh>
    <phoneticPr fontId="3"/>
  </si>
  <si>
    <t>開会後</t>
    <rPh sb="0" eb="3">
      <t>カイk</t>
    </rPh>
    <phoneticPr fontId="3"/>
  </si>
  <si>
    <t>○</t>
    <phoneticPr fontId="3"/>
  </si>
  <si>
    <t>【役割・配置分担】</t>
    <rPh sb="1" eb="3">
      <t>ヤクワr</t>
    </rPh>
    <rPh sb="4" eb="6">
      <t>ハイch</t>
    </rPh>
    <rPh sb="6" eb="8">
      <t>ブンタン</t>
    </rPh>
    <phoneticPr fontId="3"/>
  </si>
  <si>
    <t>全体把握 / 司会（２名）</t>
    <rPh sb="0" eb="2">
      <t>ゼンタ</t>
    </rPh>
    <rPh sb="2" eb="4">
      <t>ハアk</t>
    </rPh>
    <rPh sb="7" eb="9">
      <t>シカ</t>
    </rPh>
    <rPh sb="11" eb="13">
      <t>メ</t>
    </rPh>
    <phoneticPr fontId="3"/>
  </si>
  <si>
    <t>会館待機（１名）</t>
    <rPh sb="0" eb="4">
      <t>カイk</t>
    </rPh>
    <rPh sb="6" eb="8">
      <t>メ</t>
    </rPh>
    <phoneticPr fontId="3"/>
  </si>
  <si>
    <t>会場内担当（MAX７名）</t>
    <rPh sb="0" eb="3">
      <t>カイj</t>
    </rPh>
    <rPh sb="3" eb="5">
      <t>タント</t>
    </rPh>
    <rPh sb="10" eb="12">
      <t>メ</t>
    </rPh>
    <phoneticPr fontId="3"/>
  </si>
  <si>
    <t>シニアアテンド補佐</t>
    <rPh sb="7" eb="9">
      <t>ホs</t>
    </rPh>
    <phoneticPr fontId="3"/>
  </si>
  <si>
    <t>↓</t>
    <phoneticPr fontId="3"/>
  </si>
  <si>
    <t>【始まる前】</t>
    <rPh sb="1" eb="5">
      <t>ハジマr</t>
    </rPh>
    <phoneticPr fontId="3"/>
  </si>
  <si>
    <t>備品管理</t>
    <rPh sb="0" eb="4">
      <t>ビヒン</t>
    </rPh>
    <phoneticPr fontId="3"/>
  </si>
  <si>
    <t>国歌等進行管理</t>
    <rPh sb="0" eb="2">
      <t>コッk</t>
    </rPh>
    <rPh sb="2" eb="3">
      <t>ト</t>
    </rPh>
    <rPh sb="3" eb="5">
      <t>シンk</t>
    </rPh>
    <rPh sb="5" eb="7">
      <t>カン</t>
    </rPh>
    <phoneticPr fontId="3"/>
  </si>
  <si>
    <t>＊ 記念館担当者に進行と気をつける点を伝える</t>
    <rPh sb="2" eb="9">
      <t>キネン</t>
    </rPh>
    <rPh sb="9" eb="19">
      <t>シンコ</t>
    </rPh>
    <rPh sb="19" eb="22">
      <t>ツタ</t>
    </rPh>
    <phoneticPr fontId="3"/>
  </si>
  <si>
    <t>【総会中】</t>
    <rPh sb="1" eb="4">
      <t>ソウカ</t>
    </rPh>
    <phoneticPr fontId="3"/>
  </si>
  <si>
    <t>セレモニー</t>
    <phoneticPr fontId="3"/>
  </si>
  <si>
    <t>マイク</t>
    <phoneticPr fontId="3"/>
  </si>
  <si>
    <t>写真＆「立ち入り禁止」</t>
    <rPh sb="0" eb="2">
      <t>シャシン</t>
    </rPh>
    <rPh sb="4" eb="5">
      <t>タ</t>
    </rPh>
    <rPh sb="6" eb="10">
      <t>イr</t>
    </rPh>
    <phoneticPr fontId="3"/>
  </si>
  <si>
    <t>定足数 &amp; 出席率メモ</t>
    <rPh sb="0" eb="3">
      <t>テイs</t>
    </rPh>
    <rPh sb="6" eb="9">
      <t>シュッs</t>
    </rPh>
    <phoneticPr fontId="3"/>
  </si>
  <si>
    <t>**</t>
    <phoneticPr fontId="3"/>
  </si>
  <si>
    <r>
      <t>【用意する物】</t>
    </r>
    <r>
      <rPr>
        <sz val="10"/>
        <rFont val="ＭＳ Ｐゴシック"/>
        <family val="3"/>
        <charset val="128"/>
      </rPr>
      <t>　</t>
    </r>
    <rPh sb="1" eb="3">
      <t>ヨウイ</t>
    </rPh>
    <rPh sb="5" eb="6">
      <t>モノ</t>
    </rPh>
    <phoneticPr fontId="3"/>
  </si>
  <si>
    <t>＜大＞</t>
    <rPh sb="1" eb="2">
      <t>ダイ</t>
    </rPh>
    <phoneticPr fontId="3"/>
  </si>
  <si>
    <t>＜中＞</t>
    <rPh sb="1" eb="2">
      <t>チュウ</t>
    </rPh>
    <phoneticPr fontId="3"/>
  </si>
  <si>
    <t>＜小＞</t>
    <rPh sb="1" eb="2">
      <t>ショウ</t>
    </rPh>
    <phoneticPr fontId="3"/>
  </si>
  <si>
    <t>＜印刷物＞</t>
    <rPh sb="1" eb="4">
      <t>インサツブツ</t>
    </rPh>
    <phoneticPr fontId="3"/>
  </si>
  <si>
    <t>○ JC旗＋国旗　</t>
    <phoneticPr fontId="3"/>
  </si>
  <si>
    <t>○ ＪＣＩプレート（演台に貼るヤツ）＋両面テープ</t>
    <phoneticPr fontId="3"/>
  </si>
  <si>
    <t>○ 机の前に貼る　「議長」　「シニアクラブ会長　○○」　など</t>
    <phoneticPr fontId="3"/>
  </si>
  <si>
    <t>○ スローガン旗</t>
    <phoneticPr fontId="3"/>
  </si>
  <si>
    <t>○ 立入禁止札２枚</t>
    <phoneticPr fontId="3"/>
  </si>
  <si>
    <t>○ 壇上看板　（１＆総会も）</t>
    <rPh sb="10" eb="12">
      <t>ソウカイ</t>
    </rPh>
    <phoneticPr fontId="3"/>
  </si>
  <si>
    <t>○ 総会シナリオ （○部）　　　　　　　　　　　　　　</t>
    <rPh sb="2" eb="4">
      <t>ソウカイ</t>
    </rPh>
    <rPh sb="11" eb="12">
      <t>ブ</t>
    </rPh>
    <phoneticPr fontId="3"/>
  </si>
  <si>
    <t xml:space="preserve">○ 例総会出欠簿＋「出」の印鑑          </t>
    <phoneticPr fontId="3"/>
  </si>
  <si>
    <t>○ Ａ４用紙２０枚（無地）　（念のため）　　　　　　　　　　　</t>
    <rPh sb="4" eb="6">
      <t>ヨウシ</t>
    </rPh>
    <rPh sb="8" eb="9">
      <t>マイ</t>
    </rPh>
    <rPh sb="10" eb="12">
      <t>ムジ</t>
    </rPh>
    <rPh sb="15" eb="16">
      <t>ネン</t>
    </rPh>
    <phoneticPr fontId="3"/>
  </si>
  <si>
    <t>○ ゴング一式　（開会に使う物？）</t>
    <rPh sb="9" eb="11">
      <t>カイカイ</t>
    </rPh>
    <rPh sb="12" eb="13">
      <t>ツカ</t>
    </rPh>
    <rPh sb="14" eb="15">
      <t>モノ</t>
    </rPh>
    <phoneticPr fontId="3"/>
  </si>
  <si>
    <t xml:space="preserve">○ 筆記用具（テープも） </t>
    <rPh sb="2" eb="4">
      <t>ヒッキ</t>
    </rPh>
    <rPh sb="4" eb="6">
      <t>ヨウグ</t>
    </rPh>
    <phoneticPr fontId="3"/>
  </si>
  <si>
    <t>○ ギャベル　（採決の時叩く物）</t>
    <phoneticPr fontId="3"/>
  </si>
  <si>
    <t>○ 計算機</t>
    <rPh sb="2" eb="5">
      <t>ケイサンキ</t>
    </rPh>
    <phoneticPr fontId="3"/>
  </si>
  <si>
    <t>○ シニア先輩用のお茶（佐嘉神社記念館でお水出せる？）</t>
    <rPh sb="5" eb="7">
      <t>センパイ</t>
    </rPh>
    <rPh sb="7" eb="8">
      <t>ヨウ</t>
    </rPh>
    <rPh sb="10" eb="11">
      <t>チャ</t>
    </rPh>
    <rPh sb="12" eb="14">
      <t>サガ</t>
    </rPh>
    <rPh sb="14" eb="16">
      <t>ジンジャ</t>
    </rPh>
    <rPh sb="16" eb="19">
      <t>キネンカン</t>
    </rPh>
    <rPh sb="21" eb="22">
      <t>ミズ</t>
    </rPh>
    <rPh sb="22" eb="23">
      <t>ダ</t>
    </rPh>
    <phoneticPr fontId="3"/>
  </si>
  <si>
    <t>時刻</t>
    <rPh sb="0" eb="2">
      <t>ジコク</t>
    </rPh>
    <phoneticPr fontId="3"/>
  </si>
  <si>
    <t>所要
時間</t>
    <rPh sb="0" eb="2">
      <t>ショヨウ</t>
    </rPh>
    <rPh sb="3" eb="5">
      <t>ジカン</t>
    </rPh>
    <phoneticPr fontId="3"/>
  </si>
  <si>
    <t>式次第項目</t>
    <rPh sb="0" eb="1">
      <t>シキ</t>
    </rPh>
    <rPh sb="1" eb="3">
      <t>シダイ</t>
    </rPh>
    <rPh sb="3" eb="5">
      <t>コウモク</t>
    </rPh>
    <phoneticPr fontId="3"/>
  </si>
  <si>
    <t>ＭＣシナリオ</t>
    <phoneticPr fontId="3"/>
  </si>
  <si>
    <t>役割</t>
    <rPh sb="0" eb="2">
      <t>ヤクワr</t>
    </rPh>
    <phoneticPr fontId="3"/>
  </si>
  <si>
    <t>役割　または  注意事項</t>
    <rPh sb="0" eb="2">
      <t>ヤクワリ</t>
    </rPh>
    <rPh sb="8" eb="12">
      <t>チュ</t>
    </rPh>
    <phoneticPr fontId="3"/>
  </si>
  <si>
    <t xml:space="preserve">総務委員会　写真スタンバイ </t>
    <phoneticPr fontId="3"/>
  </si>
  <si>
    <t>まもなく「1月総会」の時刻でございます。</t>
    <rPh sb="6" eb="7">
      <t>ガツ</t>
    </rPh>
    <rPh sb="7" eb="9">
      <t>ソウカイ</t>
    </rPh>
    <rPh sb="11" eb="13">
      <t>ジコク</t>
    </rPh>
    <phoneticPr fontId="3"/>
  </si>
  <si>
    <t>本日は、総会ですので人数のチェックを必要とします。前の方から順に詰めて御着席ください。</t>
    <rPh sb="0" eb="2">
      <t>ホンジツ</t>
    </rPh>
    <rPh sb="4" eb="6">
      <t>ソウカイ</t>
    </rPh>
    <rPh sb="10" eb="12">
      <t>ニンズウ</t>
    </rPh>
    <rPh sb="18" eb="20">
      <t>ヒツヨウ</t>
    </rPh>
    <rPh sb="25" eb="26">
      <t>マエ</t>
    </rPh>
    <rPh sb="27" eb="28">
      <t>ホウ</t>
    </rPh>
    <rPh sb="30" eb="31">
      <t>ジュン</t>
    </rPh>
    <rPh sb="32" eb="33">
      <t>ツ</t>
    </rPh>
    <rPh sb="35" eb="38">
      <t>ゴチャクセキ</t>
    </rPh>
    <phoneticPr fontId="3"/>
  </si>
  <si>
    <t>手の空いたメンバーで入場者を前に詰める</t>
    <rPh sb="0" eb="1">
      <t>テ</t>
    </rPh>
    <rPh sb="2" eb="3">
      <t>ア</t>
    </rPh>
    <rPh sb="10" eb="13">
      <t>ニュウジョウシャ</t>
    </rPh>
    <rPh sb="14" eb="15">
      <t>マエ</t>
    </rPh>
    <rPh sb="16" eb="17">
      <t>ツ</t>
    </rPh>
    <phoneticPr fontId="3"/>
  </si>
  <si>
    <t>尚、携帯電話をお持ちのかたは電源を切って頂くか、マナーモードにして頂く様お願いいたします。</t>
    <rPh sb="0" eb="1">
      <t>ナオ</t>
    </rPh>
    <rPh sb="2" eb="4">
      <t>ケイタイ</t>
    </rPh>
    <rPh sb="4" eb="6">
      <t>デンワ</t>
    </rPh>
    <rPh sb="7" eb="9">
      <t>オモ</t>
    </rPh>
    <rPh sb="14" eb="16">
      <t>デンゲン</t>
    </rPh>
    <rPh sb="17" eb="18">
      <t>キ</t>
    </rPh>
    <rPh sb="20" eb="21">
      <t>イタダ</t>
    </rPh>
    <rPh sb="33" eb="34">
      <t>イタダ</t>
    </rPh>
    <rPh sb="35" eb="36">
      <t>ヨウ</t>
    </rPh>
    <rPh sb="36" eb="38">
      <t>オネガ</t>
    </rPh>
    <phoneticPr fontId="3"/>
  </si>
  <si>
    <t>.これ以降、入退場は原則として制限する。但しシニアクラブ来賓挨拶開始寸前までは入場を認め、その分の人数はプラスする。</t>
    <phoneticPr fontId="3"/>
  </si>
  <si>
    <t>皆様、ご着席ください。</t>
    <rPh sb="0" eb="2">
      <t>ミナサマ</t>
    </rPh>
    <rPh sb="3" eb="6">
      <t>ゴチャクセキ</t>
    </rPh>
    <phoneticPr fontId="3"/>
  </si>
  <si>
    <t>開会の辞</t>
    <phoneticPr fontId="3"/>
  </si>
  <si>
    <t>国歌斉唱</t>
    <phoneticPr fontId="3"/>
  </si>
  <si>
    <t>国歌斉唱   皆様　御起立の上、国旗に　ごせいたい下さい。</t>
    <rPh sb="0" eb="2">
      <t>コッカ</t>
    </rPh>
    <rPh sb="7" eb="9">
      <t>ミナサマ</t>
    </rPh>
    <rPh sb="10" eb="11">
      <t>ゴ</t>
    </rPh>
    <rPh sb="11" eb="13">
      <t>キリツ</t>
    </rPh>
    <phoneticPr fontId="3"/>
  </si>
  <si>
    <t>JCソング斉唱</t>
    <rPh sb="5" eb="7">
      <t>セイショウ</t>
    </rPh>
    <phoneticPr fontId="3"/>
  </si>
  <si>
    <t>JCソング斉唱　皆様、JC旗に、ご注目下さい。</t>
    <rPh sb="5" eb="7">
      <t>セイショウ</t>
    </rPh>
    <phoneticPr fontId="3"/>
  </si>
  <si>
    <t>JCIクリード唱和</t>
    <phoneticPr fontId="3"/>
  </si>
  <si>
    <t>JCIミッション並びにJCIVison唱和</t>
    <rPh sb="8" eb="9">
      <t>ナラ</t>
    </rPh>
    <phoneticPr fontId="3"/>
  </si>
  <si>
    <t>JC宣言朗読ならびに綱領唱和</t>
    <phoneticPr fontId="3"/>
  </si>
  <si>
    <t>皆様  御着席ください。</t>
    <rPh sb="0" eb="2">
      <t>ミナサマ</t>
    </rPh>
    <rPh sb="4" eb="7">
      <t>ゴチャクセキ</t>
    </rPh>
    <phoneticPr fontId="3"/>
  </si>
  <si>
    <t>議事録作成人及び
署名人指名</t>
    <phoneticPr fontId="3"/>
  </si>
  <si>
    <t>議事録作成人および署名人の指名は理事長挨拶の中でお願い致します。　　　　　　　　　　　　　　　　　　　　　　　　　　　　　　　　　　　　　　　　　　　　　</t>
    <rPh sb="0" eb="2">
      <t>ギジロク</t>
    </rPh>
    <rPh sb="2" eb="3">
      <t>ロク</t>
    </rPh>
    <rPh sb="3" eb="5">
      <t>サクセイ</t>
    </rPh>
    <rPh sb="5" eb="6">
      <t>ニン</t>
    </rPh>
    <rPh sb="9" eb="10">
      <t>ショ</t>
    </rPh>
    <rPh sb="10" eb="11">
      <t>メイ</t>
    </rPh>
    <rPh sb="11" eb="12">
      <t>ニン</t>
    </rPh>
    <rPh sb="13" eb="15">
      <t>シメイ</t>
    </rPh>
    <rPh sb="16" eb="19">
      <t>リジチョウ</t>
    </rPh>
    <rPh sb="19" eb="21">
      <t>アイサツ</t>
    </rPh>
    <rPh sb="22" eb="23">
      <t>ナカ</t>
    </rPh>
    <rPh sb="24" eb="26">
      <t>オネガ</t>
    </rPh>
    <rPh sb="27" eb="28">
      <t>イタ</t>
    </rPh>
    <phoneticPr fontId="3"/>
  </si>
  <si>
    <t>議事録作成人：　総務委員会</t>
  </si>
  <si>
    <t>理事長挨拶</t>
    <phoneticPr fontId="3"/>
  </si>
  <si>
    <t>直前理事長挨拶</t>
    <rPh sb="0" eb="5">
      <t>チョk</t>
    </rPh>
    <phoneticPr fontId="3"/>
  </si>
  <si>
    <t>特別顧問挨拶</t>
    <rPh sb="0" eb="2">
      <t>トクベツ</t>
    </rPh>
    <rPh sb="2" eb="4">
      <t>コモン</t>
    </rPh>
    <phoneticPr fontId="3"/>
  </si>
  <si>
    <t>来賓紹介</t>
    <rPh sb="0" eb="2">
      <t>ライヒン</t>
    </rPh>
    <rPh sb="2" eb="4">
      <t>ショウカイ</t>
    </rPh>
    <phoneticPr fontId="3"/>
  </si>
  <si>
    <t xml:space="preserve">「立入禁止！」の張り紙を貼る」表　　　　　　　　
「立入禁止！」の張り紙を貼る」裏
　（受付）
</t>
    <rPh sb="44" eb="46">
      <t>ウケツケ</t>
    </rPh>
    <phoneticPr fontId="3"/>
  </si>
  <si>
    <t xml:space="preserve">来賓挨拶 </t>
    <rPh sb="0" eb="2">
      <t>ライヒン</t>
    </rPh>
    <rPh sb="2" eb="4">
      <t>アイサツ</t>
    </rPh>
    <phoneticPr fontId="3"/>
  </si>
  <si>
    <t>～挨拶～（ﾊﾟﾁﾊﾟﾁ）　　　　　　　　　　　　　　　　　　　　　　　　　　　　　　　　　　　　　　　　　　　　　　　　　　　　　　　　　　　　　　　　　　　　　　　　　　　　　</t>
    <rPh sb="1" eb="3">
      <t>アイサツ</t>
    </rPh>
    <phoneticPr fontId="3"/>
  </si>
  <si>
    <t>これ以降、入退場は完全に禁止する　　　　　　
●絶対に会場に入れない事！！
　（全員）</t>
    <rPh sb="2" eb="4">
      <t>イコウ</t>
    </rPh>
    <rPh sb="5" eb="8">
      <t>ニュウタイジョウ</t>
    </rPh>
    <rPh sb="9" eb="11">
      <t>カンゼン</t>
    </rPh>
    <rPh sb="12" eb="14">
      <t>キンシ</t>
    </rPh>
    <rPh sb="24" eb="26">
      <t>ゼッタイ</t>
    </rPh>
    <rPh sb="27" eb="29">
      <t>カイジョウ</t>
    </rPh>
    <rPh sb="30" eb="31">
      <t>イ</t>
    </rPh>
    <rPh sb="34" eb="35">
      <t>コト</t>
    </rPh>
    <phoneticPr fontId="3"/>
  </si>
  <si>
    <t>シニア会長降壇</t>
    <rPh sb="3" eb="5">
      <t>カイチョウ</t>
    </rPh>
    <rPh sb="5" eb="7">
      <t>コウダン</t>
    </rPh>
    <phoneticPr fontId="3"/>
  </si>
  <si>
    <t>シニア副会長降壇</t>
    <rPh sb="3" eb="4">
      <t>フク</t>
    </rPh>
    <rPh sb="4" eb="6">
      <t>カイチョウ</t>
    </rPh>
    <rPh sb="6" eb="8">
      <t>コウダン</t>
    </rPh>
    <phoneticPr fontId="3"/>
  </si>
  <si>
    <t>定足数の確認</t>
  </si>
  <si>
    <t>よって、定款第34条の規定に基づき本総会は成立いたします。</t>
    <rPh sb="4" eb="6">
      <t>テイカン</t>
    </rPh>
    <rPh sb="6" eb="7">
      <t>ダイ</t>
    </rPh>
    <rPh sb="7" eb="10">
      <t>３４ジョウ</t>
    </rPh>
    <rPh sb="11" eb="13">
      <t>キテイ</t>
    </rPh>
    <rPh sb="14" eb="15">
      <t>モト</t>
    </rPh>
    <rPh sb="17" eb="18">
      <t>ホン</t>
    </rPh>
    <rPh sb="18" eb="20">
      <t>ソウカイ</t>
    </rPh>
    <rPh sb="21" eb="23">
      <t>セイリツ</t>
    </rPh>
    <phoneticPr fontId="3"/>
  </si>
  <si>
    <t>(総会員数1/2以上の出席）</t>
    <phoneticPr fontId="3"/>
  </si>
  <si>
    <t>議長の選出</t>
    <phoneticPr fontId="3"/>
  </si>
  <si>
    <t>議長選出 議長は定款第33条により理事長にお願い致します。</t>
    <rPh sb="0" eb="2">
      <t>ギチョウ</t>
    </rPh>
    <rPh sb="2" eb="4">
      <t>センシュツ</t>
    </rPh>
    <rPh sb="5" eb="7">
      <t>ギチョウ</t>
    </rPh>
    <rPh sb="8" eb="10">
      <t>テイカン</t>
    </rPh>
    <rPh sb="10" eb="11">
      <t>ダイ</t>
    </rPh>
    <rPh sb="11" eb="14">
      <t>３３ジョウ</t>
    </rPh>
    <rPh sb="17" eb="20">
      <t>リジチョウ</t>
    </rPh>
    <rPh sb="21" eb="23">
      <t>オネガ</t>
    </rPh>
    <rPh sb="24" eb="25">
      <t>イタ</t>
    </rPh>
    <phoneticPr fontId="3"/>
  </si>
  <si>
    <t>議事審議</t>
  </si>
  <si>
    <t>議事審議</t>
    <rPh sb="0" eb="2">
      <t>ギジ</t>
    </rPh>
    <rPh sb="2" eb="4">
      <t>シンギ</t>
    </rPh>
    <phoneticPr fontId="3"/>
  </si>
  <si>
    <t>第１号議案</t>
    <rPh sb="0" eb="1">
      <t>ダイ</t>
    </rPh>
    <rPh sb="2" eb="3">
      <t>ゴウ</t>
    </rPh>
    <rPh sb="3" eb="5">
      <t>ギアン</t>
    </rPh>
    <phoneticPr fontId="3"/>
  </si>
  <si>
    <t>上程議案の説明を総務委員長お願いします。</t>
    <phoneticPr fontId="3"/>
  </si>
  <si>
    <t>＊＊決議</t>
    <rPh sb="2" eb="4">
      <t>ケツギ</t>
    </rPh>
    <phoneticPr fontId="3"/>
  </si>
  <si>
    <r>
      <t xml:space="preserve">
</t>
    </r>
    <r>
      <rPr>
        <sz val="10"/>
        <rFont val="ＭＳ Ｐゴシック"/>
        <family val="3"/>
        <charset val="128"/>
      </rPr>
      <t>①ありがとうございます。全会一致により可決承認致します。
②反対の人・・・　棄権の人・・・　それでは反対（棄権）理由をお願い致します。
以上により本議案は賛成多数により可決承認致します。</t>
    </r>
    <rPh sb="13" eb="15">
      <t>ゼンカイ</t>
    </rPh>
    <rPh sb="15" eb="17">
      <t>イッチ</t>
    </rPh>
    <rPh sb="20" eb="22">
      <t>カケツ</t>
    </rPh>
    <rPh sb="22" eb="24">
      <t>ショウニン</t>
    </rPh>
    <rPh sb="24" eb="25">
      <t>イタ</t>
    </rPh>
    <rPh sb="31" eb="33">
      <t>ハンタイ</t>
    </rPh>
    <rPh sb="34" eb="35">
      <t>ヒト</t>
    </rPh>
    <rPh sb="39" eb="41">
      <t>キケン</t>
    </rPh>
    <rPh sb="42" eb="43">
      <t>ヒト</t>
    </rPh>
    <rPh sb="51" eb="53">
      <t>ハンタイ</t>
    </rPh>
    <rPh sb="54" eb="56">
      <t>キケン</t>
    </rPh>
    <rPh sb="57" eb="59">
      <t>リユウ</t>
    </rPh>
    <rPh sb="61" eb="62">
      <t>ネガ</t>
    </rPh>
    <rPh sb="63" eb="64">
      <t>イタ</t>
    </rPh>
    <rPh sb="69" eb="71">
      <t>イジョウ</t>
    </rPh>
    <rPh sb="74" eb="75">
      <t>ホン</t>
    </rPh>
    <rPh sb="75" eb="77">
      <t>ギアン</t>
    </rPh>
    <rPh sb="78" eb="80">
      <t>サンセイ</t>
    </rPh>
    <rPh sb="80" eb="82">
      <t>タスウ</t>
    </rPh>
    <rPh sb="85" eb="87">
      <t>カケツ</t>
    </rPh>
    <rPh sb="87" eb="89">
      <t>ショウニン</t>
    </rPh>
    <rPh sb="89" eb="90">
      <t>イタ</t>
    </rPh>
    <phoneticPr fontId="3"/>
  </si>
  <si>
    <t>第2号議案</t>
    <rPh sb="0" eb="1">
      <t>ダイ</t>
    </rPh>
    <rPh sb="2" eb="3">
      <t>ゴウ</t>
    </rPh>
    <rPh sb="3" eb="5">
      <t>ギアン</t>
    </rPh>
    <phoneticPr fontId="3"/>
  </si>
  <si>
    <t>それでは上程議案の説明を総務委員長お願いします。</t>
    <phoneticPr fontId="3"/>
  </si>
  <si>
    <r>
      <t>　　　　　　　　</t>
    </r>
    <r>
      <rPr>
        <sz val="10"/>
        <rFont val="ＭＳ Ｐゴシック"/>
        <family val="3"/>
        <charset val="128"/>
      </rPr>
      <t xml:space="preserve">（議案説明）   </t>
    </r>
    <phoneticPr fontId="3"/>
  </si>
  <si>
    <t>　　　　　　　　　　　　　　　　　　　</t>
  </si>
  <si>
    <t>皆様のおかげをもちまして「２議案」ともご承認いただきました。ありがとうございます。
 これで議長の任を解かせて頂きます。</t>
    <rPh sb="0" eb="2">
      <t>ミナサマ</t>
    </rPh>
    <rPh sb="14" eb="16">
      <t>ギアン</t>
    </rPh>
    <rPh sb="20" eb="22">
      <t>ショウニン</t>
    </rPh>
    <rPh sb="46" eb="48">
      <t>ギチョウ</t>
    </rPh>
    <rPh sb="49" eb="50">
      <t>ニン</t>
    </rPh>
    <rPh sb="51" eb="52">
      <t>ト</t>
    </rPh>
    <rPh sb="55" eb="56">
      <t>イタダ</t>
    </rPh>
    <phoneticPr fontId="3"/>
  </si>
  <si>
    <t>立ち入り禁止の張り紙をはがす</t>
    <rPh sb="0" eb="1">
      <t>タ</t>
    </rPh>
    <rPh sb="2" eb="3">
      <t>イ</t>
    </rPh>
    <rPh sb="4" eb="6">
      <t>キンシ</t>
    </rPh>
    <rPh sb="7" eb="8">
      <t>ハ</t>
    </rPh>
    <rPh sb="9" eb="10">
      <t>ガミ</t>
    </rPh>
    <phoneticPr fontId="3"/>
  </si>
  <si>
    <t>これから入場はＯＫとなる。</t>
    <rPh sb="4" eb="6">
      <t>ニュウジョウ</t>
    </rPh>
    <phoneticPr fontId="3"/>
  </si>
  <si>
    <t>来賓退場（シニアクラブ）</t>
    <rPh sb="0" eb="2">
      <t>ライヒン</t>
    </rPh>
    <rPh sb="2" eb="4">
      <t>タイジョウ</t>
    </rPh>
    <phoneticPr fontId="3"/>
  </si>
  <si>
    <t>報告及び依頼事項</t>
    <rPh sb="0" eb="2">
      <t>ホウコク</t>
    </rPh>
    <rPh sb="2" eb="3">
      <t>オヨ</t>
    </rPh>
    <rPh sb="4" eb="6">
      <t>イライ</t>
    </rPh>
    <rPh sb="6" eb="8">
      <t>ジコウ</t>
    </rPh>
    <phoneticPr fontId="3"/>
  </si>
  <si>
    <t>報告及び依頼事項　報告及び依頼事項のある方は壇上にてお願いします。</t>
    <rPh sb="0" eb="2">
      <t>ホウコク</t>
    </rPh>
    <rPh sb="2" eb="3">
      <t>オヨ</t>
    </rPh>
    <rPh sb="4" eb="6">
      <t>イライ</t>
    </rPh>
    <rPh sb="6" eb="8">
      <t>ジコウ</t>
    </rPh>
    <rPh sb="9" eb="11">
      <t>ホウコク</t>
    </rPh>
    <rPh sb="11" eb="12">
      <t>オヨ</t>
    </rPh>
    <rPh sb="13" eb="15">
      <t>イライ</t>
    </rPh>
    <rPh sb="15" eb="17">
      <t>ジコウ</t>
    </rPh>
    <rPh sb="20" eb="21">
      <t>カタ</t>
    </rPh>
    <rPh sb="22" eb="24">
      <t>ダンジョウ</t>
    </rPh>
    <rPh sb="27" eb="28">
      <t>ネガ</t>
    </rPh>
    <phoneticPr fontId="3"/>
  </si>
  <si>
    <t>皆様ご着席ください</t>
    <rPh sb="0" eb="2">
      <t>ミナサマ</t>
    </rPh>
    <rPh sb="3" eb="5">
      <t>チャクセキ</t>
    </rPh>
    <phoneticPr fontId="3"/>
  </si>
  <si>
    <t>直前理事長への感謝状及び記念品の贈呈</t>
    <rPh sb="0" eb="2">
      <t>チョクゼン</t>
    </rPh>
    <rPh sb="2" eb="5">
      <t>リジチョウ</t>
    </rPh>
    <rPh sb="7" eb="10">
      <t>カンシャジョウ</t>
    </rPh>
    <rPh sb="10" eb="11">
      <t>オヨ</t>
    </rPh>
    <rPh sb="12" eb="15">
      <t>キネンヒン</t>
    </rPh>
    <rPh sb="16" eb="18">
      <t>ゾウテイ</t>
    </rPh>
    <phoneticPr fontId="3"/>
  </si>
  <si>
    <t>１）感謝状　２）記念品　３）賞状をのせるおぼん</t>
    <phoneticPr fontId="3"/>
  </si>
  <si>
    <t>着席後監事講評</t>
    <phoneticPr fontId="3"/>
  </si>
  <si>
    <t>監事講評</t>
    <phoneticPr fontId="3"/>
  </si>
  <si>
    <t xml:space="preserve">閉会の辞   </t>
  </si>
  <si>
    <t>終了</t>
    <rPh sb="0" eb="2">
      <t>シュウリョウ</t>
    </rPh>
    <phoneticPr fontId="3"/>
  </si>
  <si>
    <t>これをもちまして、すべての内容を終了致します。皆様ありがとうございました。　　　　　　　　　　　　　　　　　　　　　　　　　　　　　　　　　　　　　　　　　　　　　　　　　</t>
    <rPh sb="13" eb="15">
      <t>ナイヨ</t>
    </rPh>
    <rPh sb="16" eb="18">
      <t>シュウリョウ</t>
    </rPh>
    <rPh sb="18" eb="19">
      <t>イタ</t>
    </rPh>
    <rPh sb="23" eb="24">
      <t>ミナ</t>
    </rPh>
    <rPh sb="24" eb="25">
      <t>サマ</t>
    </rPh>
    <phoneticPr fontId="3"/>
  </si>
  <si>
    <t xml:space="preserve">        　　　　　　　     　</t>
    <phoneticPr fontId="3"/>
  </si>
  <si>
    <t xml:space="preserve">＜欠席＞ </t>
    <phoneticPr fontId="3"/>
  </si>
  <si>
    <t>（総会時は入室できない）</t>
    <rPh sb="1" eb="3">
      <t>ソウカ</t>
    </rPh>
    <rPh sb="3" eb="5">
      <t>ジh</t>
    </rPh>
    <rPh sb="5" eb="11">
      <t>ニュウsh</t>
    </rPh>
    <phoneticPr fontId="3"/>
  </si>
  <si>
    <t>受付（２名）</t>
    <rPh sb="0" eb="2">
      <t>ウケツk</t>
    </rPh>
    <rPh sb="4" eb="6">
      <t>メ</t>
    </rPh>
    <phoneticPr fontId="3"/>
  </si>
  <si>
    <t>＊ レコーダーは開会直前まで室長が管理（紛失を防ぐため）</t>
    <rPh sb="8" eb="14">
      <t>カ</t>
    </rPh>
    <rPh sb="14" eb="16">
      <t>シツチョウ</t>
    </rPh>
    <rPh sb="17" eb="19">
      <t>カンr</t>
    </rPh>
    <rPh sb="20" eb="23">
      <t>フンシts</t>
    </rPh>
    <rPh sb="23" eb="28">
      <t>フセg</t>
    </rPh>
    <phoneticPr fontId="3"/>
  </si>
  <si>
    <t>○ 理事長、直前理事長、特別顧問、副理事長×５名、専務理事の　卓上ネームプレート（計９枚）</t>
    <rPh sb="12" eb="14">
      <t>トクベツ</t>
    </rPh>
    <rPh sb="14" eb="16">
      <t>コモン</t>
    </rPh>
    <phoneticPr fontId="3"/>
  </si>
  <si>
    <t>○ 「JCIクリード」と「JCIMISSION・VISION」と「JC宣言文」の本（青い本みたいなヤツ）　</t>
    <rPh sb="35" eb="37">
      <t>センゲン</t>
    </rPh>
    <rPh sb="37" eb="38">
      <t>ブン</t>
    </rPh>
    <rPh sb="40" eb="41">
      <t>ホン</t>
    </rPh>
    <rPh sb="42" eb="43">
      <t>アオ</t>
    </rPh>
    <rPh sb="44" eb="45">
      <t>ホン</t>
    </rPh>
    <phoneticPr fontId="3"/>
  </si>
  <si>
    <t>○ 国歌・JCソング入ったＣＤ</t>
    <rPh sb="2" eb="4">
      <t>コッカ</t>
    </rPh>
    <rPh sb="10" eb="11">
      <t>ハイ</t>
    </rPh>
    <phoneticPr fontId="3"/>
  </si>
  <si>
    <t>○ ＩＣレコーダー（総務委員長BOX）（電池のチェックを！）</t>
    <rPh sb="10" eb="12">
      <t>ソウム</t>
    </rPh>
    <rPh sb="12" eb="15">
      <t>イインチョウ</t>
    </rPh>
    <rPh sb="20" eb="22">
      <t>デンチ</t>
    </rPh>
    <phoneticPr fontId="3"/>
  </si>
  <si>
    <t>受付２名　　　　　　　　　　　　　　　　　　　　　　</t>
    <rPh sb="0" eb="2">
      <t>ウケツケ</t>
    </rPh>
    <rPh sb="3" eb="4">
      <t>メイ</t>
    </rPh>
    <phoneticPr fontId="3"/>
  </si>
  <si>
    <t>CD係：　記念館担当　”スタート！”</t>
    <rPh sb="5" eb="7">
      <t>キネン</t>
    </rPh>
    <rPh sb="7" eb="8">
      <t>カン</t>
    </rPh>
    <rPh sb="8" eb="10">
      <t>タントウ</t>
    </rPh>
    <phoneticPr fontId="3"/>
  </si>
  <si>
    <t>まず第３号その他の議案をお持ちの方いらっしゃいますか？ないようですので第３号議案その他を削除いたします。</t>
    <rPh sb="2" eb="3">
      <t>ダイ</t>
    </rPh>
    <rPh sb="4" eb="5">
      <t>ゴウ</t>
    </rPh>
    <rPh sb="7" eb="8">
      <t>タ</t>
    </rPh>
    <rPh sb="9" eb="11">
      <t>ギアン</t>
    </rPh>
    <rPh sb="13" eb="14">
      <t>モ</t>
    </rPh>
    <rPh sb="16" eb="17">
      <t>カタ</t>
    </rPh>
    <rPh sb="35" eb="36">
      <t>ダイ</t>
    </rPh>
    <rPh sb="37" eb="38">
      <t>ゴウ</t>
    </rPh>
    <rPh sb="38" eb="40">
      <t>ギアン</t>
    </rPh>
    <rPh sb="42" eb="43">
      <t>タ</t>
    </rPh>
    <rPh sb="44" eb="46">
      <t>サクジョ</t>
    </rPh>
    <phoneticPr fontId="3"/>
  </si>
  <si>
    <t>監事講評  監事　音成　信介（おとなり　しんすけ）君</t>
    <rPh sb="9" eb="11">
      <t>オトナリ</t>
    </rPh>
    <rPh sb="12" eb="14">
      <t>シンスケ</t>
    </rPh>
    <rPh sb="25" eb="26">
      <t>クン</t>
    </rPh>
    <phoneticPr fontId="3"/>
  </si>
  <si>
    <t>○ １）感謝状　２）目録　３）賞状をのせるおぼん</t>
    <rPh sb="10" eb="12">
      <t>モクロク</t>
    </rPh>
    <phoneticPr fontId="3"/>
  </si>
  <si>
    <t>○プレジデンシャルリース</t>
    <phoneticPr fontId="3"/>
  </si>
  <si>
    <t>■ 当日委員会スタッフは  ＜14：00会館集合＞　メンバーは＜15：30迄会場集合＞　＜16：00まで会場設営＞ ＜16：00～リハーサル＞</t>
    <rPh sb="2" eb="4">
      <t>トウジツ</t>
    </rPh>
    <rPh sb="20" eb="22">
      <t>カイカン</t>
    </rPh>
    <rPh sb="22" eb="24">
      <t>シュウゴウ</t>
    </rPh>
    <rPh sb="37" eb="38">
      <t>マデ</t>
    </rPh>
    <rPh sb="38" eb="40">
      <t>カイジョウ</t>
    </rPh>
    <rPh sb="40" eb="42">
      <t>シュウ</t>
    </rPh>
    <rPh sb="52" eb="54">
      <t>カイジョウ</t>
    </rPh>
    <rPh sb="54" eb="56">
      <t>セツエイ</t>
    </rPh>
    <phoneticPr fontId="3"/>
  </si>
  <si>
    <t>松並 （資料修正時、忘れ物対応）　　</t>
    <rPh sb="0" eb="2">
      <t>マツナミ</t>
    </rPh>
    <rPh sb="4" eb="6">
      <t>シリョ</t>
    </rPh>
    <rPh sb="6" eb="8">
      <t>シュ</t>
    </rPh>
    <rPh sb="8" eb="9">
      <t>ジ</t>
    </rPh>
    <rPh sb="10" eb="11">
      <t>ワス</t>
    </rPh>
    <rPh sb="12" eb="13">
      <t>モノ</t>
    </rPh>
    <rPh sb="13" eb="16">
      <t>タイオ</t>
    </rPh>
    <phoneticPr fontId="3"/>
  </si>
  <si>
    <t>原</t>
    <rPh sb="0" eb="1">
      <t>ハラ</t>
    </rPh>
    <phoneticPr fontId="3"/>
  </si>
  <si>
    <t>○ 式次第（１００部）＝直前まで変更の可能性あり！</t>
    <rPh sb="9" eb="10">
      <t>ブ</t>
    </rPh>
    <rPh sb="12" eb="14">
      <t>チョクゼン</t>
    </rPh>
    <rPh sb="16" eb="18">
      <t>ヘンコウ</t>
    </rPh>
    <rPh sb="19" eb="22">
      <t>カノウセイ</t>
    </rPh>
    <phoneticPr fontId="3"/>
  </si>
  <si>
    <t>○２０２１年度基本資料＆手帳</t>
    <rPh sb="5" eb="7">
      <t>ネンド</t>
    </rPh>
    <rPh sb="7" eb="9">
      <t>キホン</t>
    </rPh>
    <rPh sb="9" eb="11">
      <t>シリョウ</t>
    </rPh>
    <rPh sb="12" eb="14">
      <t>テチョウ</t>
    </rPh>
    <phoneticPr fontId="3"/>
  </si>
  <si>
    <t>署名人：　　　　　６５周年委員会　　　　　　菱岡（ひしおか）　　　委員長　　</t>
    <rPh sb="11" eb="13">
      <t>シュウネン</t>
    </rPh>
    <rPh sb="13" eb="16">
      <t>イインカイ</t>
    </rPh>
    <rPh sb="22" eb="24">
      <t>ヒシオカ</t>
    </rPh>
    <phoneticPr fontId="3"/>
  </si>
  <si>
    <t>署名人：　　　　　未来に繋がるまちづくり委員会　　        久保（くぼ）　委員長</t>
    <rPh sb="9" eb="11">
      <t>ミライ</t>
    </rPh>
    <rPh sb="12" eb="13">
      <t>ツナ</t>
    </rPh>
    <rPh sb="20" eb="23">
      <t>イインカイ</t>
    </rPh>
    <rPh sb="33" eb="35">
      <t>クボ</t>
    </rPh>
    <phoneticPr fontId="3"/>
  </si>
  <si>
    <t>理事長挨拶    理事長  古川　健太郎（ふるかわ　けんたろう）君</t>
    <rPh sb="0" eb="3">
      <t>リジチョウ</t>
    </rPh>
    <rPh sb="3" eb="5">
      <t>アイサツ</t>
    </rPh>
    <rPh sb="9" eb="12">
      <t>リジチョウ</t>
    </rPh>
    <rPh sb="14" eb="16">
      <t>フルカワ</t>
    </rPh>
    <rPh sb="17" eb="20">
      <t>ケンタロウ</t>
    </rPh>
    <rPh sb="32" eb="33">
      <t>クン</t>
    </rPh>
    <phoneticPr fontId="3"/>
  </si>
  <si>
    <t>直前理事長挨拶  直前理事長　西村　祐二郎（にしむら　ゆうじろう）君</t>
    <rPh sb="0" eb="5">
      <t>チョk</t>
    </rPh>
    <rPh sb="5" eb="7">
      <t>アイサツ</t>
    </rPh>
    <rPh sb="9" eb="14">
      <t>チョk</t>
    </rPh>
    <rPh sb="15" eb="17">
      <t>ニシムラ</t>
    </rPh>
    <rPh sb="18" eb="19">
      <t>ユウ</t>
    </rPh>
    <rPh sb="19" eb="21">
      <t>ジロウ</t>
    </rPh>
    <rPh sb="33" eb="34">
      <t>クン</t>
    </rPh>
    <phoneticPr fontId="3"/>
  </si>
  <si>
    <t>特別顧問挨拶  特別顧問　江崎　正徳（えざき　まさのり）君</t>
    <rPh sb="0" eb="2">
      <t>トクベツ</t>
    </rPh>
    <rPh sb="2" eb="4">
      <t>コモン</t>
    </rPh>
    <rPh sb="4" eb="6">
      <t>アイサツ</t>
    </rPh>
    <rPh sb="8" eb="10">
      <t>トクベツ</t>
    </rPh>
    <rPh sb="10" eb="12">
      <t>コモン</t>
    </rPh>
    <rPh sb="13" eb="15">
      <t>エザキ</t>
    </rPh>
    <rPh sb="16" eb="18">
      <t>マサノリ</t>
    </rPh>
    <rPh sb="28" eb="29">
      <t>クン</t>
    </rPh>
    <phoneticPr fontId="3"/>
  </si>
  <si>
    <t>それでは、シニア・クラブを代表し会長の川代　勇一（かわしろ　ゆういち）先輩よりご挨拶頂きます。　川代先輩、宜しくお願い致します。</t>
    <rPh sb="13" eb="15">
      <t>ダイヒョウ</t>
    </rPh>
    <rPh sb="16" eb="18">
      <t>カイチョウ</t>
    </rPh>
    <rPh sb="19" eb="21">
      <t>カワシロ</t>
    </rPh>
    <rPh sb="22" eb="24">
      <t>ユウイチ</t>
    </rPh>
    <rPh sb="35" eb="37">
      <t>センパイ</t>
    </rPh>
    <rPh sb="40" eb="42">
      <t>アイサツ</t>
    </rPh>
    <rPh sb="42" eb="43">
      <t>イタダ</t>
    </rPh>
    <rPh sb="48" eb="50">
      <t>カワシロ</t>
    </rPh>
    <rPh sb="50" eb="52">
      <t>センパイ</t>
    </rPh>
    <rPh sb="53" eb="54">
      <t>ヨロ</t>
    </rPh>
    <rPh sb="57" eb="58">
      <t>ネガ</t>
    </rPh>
    <rPh sb="59" eb="60">
      <t>イタ</t>
    </rPh>
    <phoneticPr fontId="3"/>
  </si>
  <si>
    <t>ここでシニア・クラブ役員の皆様をご紹介したいと思います。
皆様盛大な拍手をお願い致します。
シニア・クラブ会長の　川代　勇一（かわしろ　ゆういち）先輩です。　(ﾊﾟﾁﾊﾟﾁ)　、
副会長の　下津浦　信啓（しもつうら　のぶひろ）先輩です。（ﾊﾟﾁﾊﾟﾁ）
副会長の　古賀　満美（こが　みちみ）先輩です。（ﾊﾟﾁﾊﾟﾁ）
監事の　久保　和則（くぼ　かずのり）先輩です。　(ﾊﾟﾁﾊﾟﾁ)
会計の　木下　直哉（きのした　なおや）先輩です。（ﾊﾟﾁﾊﾟﾁ）</t>
    <rPh sb="90" eb="93">
      <t>フクカイチョウ</t>
    </rPh>
    <rPh sb="112" eb="114">
      <t>センパイ</t>
    </rPh>
    <rPh sb="131" eb="133">
      <t>コガ</t>
    </rPh>
    <rPh sb="135" eb="136">
      <t>ミツ</t>
    </rPh>
    <rPh sb="136" eb="137">
      <t>ミ</t>
    </rPh>
    <rPh sb="158" eb="160">
      <t>カンジ</t>
    </rPh>
    <rPh sb="162" eb="164">
      <t>クボ</t>
    </rPh>
    <rPh sb="165" eb="167">
      <t>カズノリ</t>
    </rPh>
    <rPh sb="192" eb="194">
      <t>カイケイ</t>
    </rPh>
    <rPh sb="196" eb="198">
      <t>キノシタ</t>
    </rPh>
    <rPh sb="211" eb="213">
      <t>センパイ</t>
    </rPh>
    <phoneticPr fontId="3"/>
  </si>
  <si>
    <t>（挨拶後）川代　勇一（かわしろ　ゆういち）先輩　ありがとうございました。</t>
    <rPh sb="1" eb="3">
      <t>アイサツ</t>
    </rPh>
    <rPh sb="3" eb="4">
      <t>ゴ</t>
    </rPh>
    <rPh sb="5" eb="7">
      <t>カワシロ</t>
    </rPh>
    <rPh sb="8" eb="10">
      <t>ユウイチ</t>
    </rPh>
    <rPh sb="21" eb="23">
      <t>センパイ</t>
    </rPh>
    <phoneticPr fontId="3"/>
  </si>
  <si>
    <t>続きまして、○○の ○○　○○（○○○○　○○○○）先輩よりご挨拶頂きます。　
○○先輩、宜しくお願い致します。</t>
    <rPh sb="0" eb="1">
      <t>ツヅ</t>
    </rPh>
    <rPh sb="26" eb="28">
      <t>センパイ</t>
    </rPh>
    <rPh sb="31" eb="33">
      <t>アイサツ</t>
    </rPh>
    <rPh sb="33" eb="34">
      <t>イタダ</t>
    </rPh>
    <rPh sb="42" eb="44">
      <t>センパイ</t>
    </rPh>
    <rPh sb="45" eb="46">
      <t>ヨロ</t>
    </rPh>
    <rPh sb="49" eb="50">
      <t>ネガ</t>
    </rPh>
    <rPh sb="51" eb="52">
      <t>イタ</t>
    </rPh>
    <phoneticPr fontId="3"/>
  </si>
  <si>
    <t>（挨拶後）○○　○○（○○○○　○○○○）先輩　ありがとうございました。</t>
    <rPh sb="1" eb="3">
      <t>アイサツ</t>
    </rPh>
    <rPh sb="3" eb="4">
      <t>ゴ</t>
    </rPh>
    <rPh sb="21" eb="23">
      <t>センパイ</t>
    </rPh>
    <phoneticPr fontId="3"/>
  </si>
  <si>
    <t>只今より定足数の確認を行ないます。　　髙橋委員長お願い致します。</t>
    <rPh sb="0" eb="2">
      <t>タダイマ</t>
    </rPh>
    <rPh sb="4" eb="5">
      <t>テイソク</t>
    </rPh>
    <rPh sb="5" eb="6">
      <t>アシ</t>
    </rPh>
    <rPh sb="6" eb="7">
      <t>スウ</t>
    </rPh>
    <rPh sb="8" eb="10">
      <t>カクニン</t>
    </rPh>
    <rPh sb="11" eb="12">
      <t>オコ</t>
    </rPh>
    <rPh sb="19" eb="21">
      <t>タカハシ</t>
    </rPh>
    <rPh sb="21" eb="24">
      <t>イインチョウ</t>
    </rPh>
    <rPh sb="25" eb="26">
      <t>ネガ</t>
    </rPh>
    <rPh sb="27" eb="28">
      <t>イタ</t>
    </rPh>
    <phoneticPr fontId="3"/>
  </si>
  <si>
    <t>（定足数を松尾委員長に渡す、○○担当）</t>
    <rPh sb="1" eb="3">
      <t>テイソク</t>
    </rPh>
    <rPh sb="3" eb="4">
      <t>スウ</t>
    </rPh>
    <rPh sb="5" eb="7">
      <t>マツオ</t>
    </rPh>
    <rPh sb="7" eb="10">
      <t>イインチョウ</t>
    </rPh>
    <rPh sb="11" eb="12">
      <t>ワタ</t>
    </rPh>
    <rPh sb="16" eb="18">
      <t>タントウ</t>
    </rPh>
    <phoneticPr fontId="3"/>
  </si>
  <si>
    <t>第１号議案　「２０２０年度収支決算（案）承認の件」</t>
    <rPh sb="0" eb="1">
      <t>ダイ</t>
    </rPh>
    <rPh sb="2" eb="3">
      <t>ゴウ</t>
    </rPh>
    <rPh sb="3" eb="5">
      <t>ギアン</t>
    </rPh>
    <phoneticPr fontId="3"/>
  </si>
  <si>
    <t>この議案に対し、何かご質問はありませんでしょうか？
無ければ採決に移らせていただきます。
「第１号議案　２０２０年度収支決算（案）承認の件｣
この議案に賛成の方は挙手をお願いいたします。　</t>
    <rPh sb="2" eb="4">
      <t>ギアン</t>
    </rPh>
    <rPh sb="5" eb="6">
      <t>タイ</t>
    </rPh>
    <rPh sb="8" eb="9">
      <t>ナニ</t>
    </rPh>
    <rPh sb="11" eb="13">
      <t>シツモン</t>
    </rPh>
    <rPh sb="26" eb="27">
      <t>ナ</t>
    </rPh>
    <rPh sb="30" eb="32">
      <t>サイケツ</t>
    </rPh>
    <rPh sb="33" eb="34">
      <t>ウツ</t>
    </rPh>
    <rPh sb="73" eb="75">
      <t>ギアン</t>
    </rPh>
    <rPh sb="76" eb="78">
      <t>サンセイ</t>
    </rPh>
    <rPh sb="79" eb="80">
      <t>カタ</t>
    </rPh>
    <rPh sb="81" eb="83">
      <t>キョシュ</t>
    </rPh>
    <rPh sb="85" eb="86">
      <t>ネガ</t>
    </rPh>
    <phoneticPr fontId="3"/>
  </si>
  <si>
    <t>第２号議案　「２０２１年度収支予算（案）承認の件」</t>
    <rPh sb="0" eb="1">
      <t>ダイ</t>
    </rPh>
    <rPh sb="2" eb="3">
      <t>ゴウ</t>
    </rPh>
    <rPh sb="3" eb="5">
      <t>ギアン</t>
    </rPh>
    <phoneticPr fontId="3"/>
  </si>
  <si>
    <t xml:space="preserve">議長のお許しを得まして、総務室長の松並　陽一（まつなみ　よういち）君からご説明をお願いしたいですが、いかがでしょうか？  </t>
    <rPh sb="7" eb="8">
      <t>エ</t>
    </rPh>
    <rPh sb="12" eb="14">
      <t>ソウム</t>
    </rPh>
    <rPh sb="14" eb="16">
      <t>シツチョウ</t>
    </rPh>
    <rPh sb="17" eb="19">
      <t>マツナミ</t>
    </rPh>
    <rPh sb="20" eb="22">
      <t>ヨウイチ</t>
    </rPh>
    <rPh sb="33" eb="34">
      <t>クン</t>
    </rPh>
    <rPh sb="41" eb="42">
      <t>ネガ</t>
    </rPh>
    <phoneticPr fontId="3"/>
  </si>
  <si>
    <t>それでは 総務室長の松並　陽一（まつなみ　よういち）君、お願いします。</t>
    <rPh sb="10" eb="12">
      <t>マツナミ</t>
    </rPh>
    <rPh sb="13" eb="15">
      <t>ヨウイチ</t>
    </rPh>
    <phoneticPr fontId="3"/>
  </si>
  <si>
    <t>この議案に対し、何かご質問はありませんでしょうか？
無ければ採決に移らせていただきます。
第2号議案　「２０２１年度収支予算（案）承認の件」
この議案に賛成の方は挙手をお願いいたします。　</t>
    <rPh sb="2" eb="4">
      <t>ギアン</t>
    </rPh>
    <rPh sb="5" eb="6">
      <t>タイ</t>
    </rPh>
    <rPh sb="8" eb="9">
      <t>ナニ</t>
    </rPh>
    <rPh sb="11" eb="13">
      <t>シツモン</t>
    </rPh>
    <rPh sb="26" eb="27">
      <t>ナ</t>
    </rPh>
    <rPh sb="30" eb="32">
      <t>サイケツ</t>
    </rPh>
    <rPh sb="33" eb="34">
      <t>ウツ</t>
    </rPh>
    <rPh sb="73" eb="75">
      <t>ギアン</t>
    </rPh>
    <rPh sb="76" eb="78">
      <t>サンセイ</t>
    </rPh>
    <rPh sb="79" eb="80">
      <t>カタ</t>
    </rPh>
    <rPh sb="81" eb="83">
      <t>キョシュ</t>
    </rPh>
    <rPh sb="85" eb="86">
      <t>ネガ</t>
    </rPh>
    <phoneticPr fontId="3"/>
  </si>
  <si>
    <t>西村理事長への感謝状及び記念品の贈呈　西村直前理事長、古川理事長ご登壇ください。</t>
    <rPh sb="0" eb="2">
      <t>ニシムラ</t>
    </rPh>
    <rPh sb="2" eb="5">
      <t>リジチョウ</t>
    </rPh>
    <rPh sb="7" eb="10">
      <t>カンシャジョウ</t>
    </rPh>
    <rPh sb="10" eb="11">
      <t>オヨ</t>
    </rPh>
    <rPh sb="12" eb="15">
      <t>キネンヒン</t>
    </rPh>
    <rPh sb="16" eb="18">
      <t>ゾウテイ</t>
    </rPh>
    <rPh sb="19" eb="21">
      <t>ニシムラ</t>
    </rPh>
    <rPh sb="21" eb="23">
      <t>チョクゼン</t>
    </rPh>
    <rPh sb="23" eb="26">
      <t>リジチョウ</t>
    </rPh>
    <rPh sb="27" eb="29">
      <t>フルカワ</t>
    </rPh>
    <rPh sb="29" eb="32">
      <t>リジチョウ</t>
    </rPh>
    <rPh sb="33" eb="35">
      <t>トウダン</t>
    </rPh>
    <phoneticPr fontId="3"/>
  </si>
  <si>
    <t>総務委員会のメンバーが会場の四隅から、皆挙手しているかチェックして、髙橋委員長に合図する。</t>
    <rPh sb="20" eb="22">
      <t>キョシュ</t>
    </rPh>
    <rPh sb="34" eb="36">
      <t>タカハシ</t>
    </rPh>
    <rPh sb="36" eb="39">
      <t>イインチョウ</t>
    </rPh>
    <phoneticPr fontId="3"/>
  </si>
  <si>
    <t>西村直前理事長、古川理事長、ご降壇下さい。</t>
    <rPh sb="0" eb="2">
      <t>ニシムラ</t>
    </rPh>
    <rPh sb="8" eb="10">
      <t>フルカワ</t>
    </rPh>
    <phoneticPr fontId="3"/>
  </si>
  <si>
    <t xml:space="preserve">大変お待たせいたしました。これより「1月総会」をとりおこないます。本日は、シニア・クラブから会長の　川代　勇一（かわしろ　ゆういち）先輩、副会長の　 下津浦　信啓（しもつうら　のぶひろ）先輩にお越し頂いております。皆様ご起立の上、拍手でお迎えください。
</t>
    <rPh sb="0" eb="2">
      <t>タイヘン</t>
    </rPh>
    <rPh sb="2" eb="4">
      <t>オマ</t>
    </rPh>
    <rPh sb="20" eb="22">
      <t>ソウカイ</t>
    </rPh>
    <rPh sb="33" eb="35">
      <t>ホンジツ</t>
    </rPh>
    <rPh sb="50" eb="52">
      <t>カワシロ</t>
    </rPh>
    <rPh sb="53" eb="55">
      <t>ユウイチ</t>
    </rPh>
    <rPh sb="66" eb="68">
      <t>センパイ</t>
    </rPh>
    <rPh sb="69" eb="72">
      <t>フクカイチョウ</t>
    </rPh>
    <rPh sb="75" eb="77">
      <t>シモツ</t>
    </rPh>
    <rPh sb="77" eb="78">
      <t>ウラ</t>
    </rPh>
    <rPh sb="79" eb="81">
      <t>ノブヒロ</t>
    </rPh>
    <rPh sb="97" eb="98">
      <t>コ</t>
    </rPh>
    <rPh sb="107" eb="109">
      <t>ミナサマ</t>
    </rPh>
    <rPh sb="110" eb="112">
      <t>キリツ</t>
    </rPh>
    <rPh sb="113" eb="114">
      <t>ウエ</t>
    </rPh>
    <rPh sb="115" eb="117">
      <t>ハクシュ</t>
    </rPh>
    <rPh sb="118" eb="120">
      <t>オムカ</t>
    </rPh>
    <phoneticPr fontId="3"/>
  </si>
  <si>
    <t>原　/　西村 　/　鮎川　/　松尾　 /　田中　/　百島　/　原岡</t>
    <rPh sb="0" eb="1">
      <t>ハラ</t>
    </rPh>
    <rPh sb="4" eb="6">
      <t>ニシムラ</t>
    </rPh>
    <rPh sb="10" eb="12">
      <t>アユカワ</t>
    </rPh>
    <rPh sb="15" eb="17">
      <t>マツオ</t>
    </rPh>
    <rPh sb="21" eb="23">
      <t>タナカ</t>
    </rPh>
    <rPh sb="26" eb="28">
      <t>モモシマ</t>
    </rPh>
    <rPh sb="31" eb="33">
      <t>ハラオカ</t>
    </rPh>
    <phoneticPr fontId="3"/>
  </si>
  <si>
    <t>（全１３名）</t>
    <rPh sb="1" eb="2">
      <t>ゼン</t>
    </rPh>
    <rPh sb="4" eb="6">
      <t>メ</t>
    </rPh>
    <phoneticPr fontId="3"/>
  </si>
  <si>
    <t>鮎川/西村</t>
    <rPh sb="0" eb="2">
      <t>アユカワ</t>
    </rPh>
    <rPh sb="3" eb="5">
      <t>ニシムラ</t>
    </rPh>
    <phoneticPr fontId="3"/>
  </si>
  <si>
    <t>田中/松尾/百島/原岡</t>
    <rPh sb="0" eb="2">
      <t>タナカ</t>
    </rPh>
    <rPh sb="3" eb="5">
      <t>マツオ</t>
    </rPh>
    <rPh sb="6" eb="8">
      <t>モモシマ</t>
    </rPh>
    <rPh sb="9" eb="11">
      <t>ハラオカ</t>
    </rPh>
    <phoneticPr fontId="3"/>
  </si>
  <si>
    <t>高橋、（ＣＤを受取り、記念館担当者へ）</t>
    <rPh sb="0" eb="2">
      <t>タカハシ</t>
    </rPh>
    <rPh sb="7" eb="9">
      <t>ウケト</t>
    </rPh>
    <rPh sb="11" eb="14">
      <t>キネンカン</t>
    </rPh>
    <rPh sb="14" eb="17">
      <t>タントウシャ</t>
    </rPh>
    <phoneticPr fontId="3"/>
  </si>
  <si>
    <t>松並室長、高橋</t>
    <rPh sb="0" eb="2">
      <t>マツナミ</t>
    </rPh>
    <rPh sb="2" eb="4">
      <t>シツチョウ</t>
    </rPh>
    <rPh sb="5" eb="7">
      <t>タカハシ</t>
    </rPh>
    <phoneticPr fontId="3"/>
  </si>
  <si>
    <t>松尾</t>
    <rPh sb="0" eb="2">
      <t>マツオ</t>
    </rPh>
    <phoneticPr fontId="3"/>
  </si>
  <si>
    <t>高橋　レコーダースタンバイ　</t>
    <rPh sb="0" eb="2">
      <t>タカハシ</t>
    </rPh>
    <phoneticPr fontId="3"/>
  </si>
  <si>
    <t>委員長は、受付で待機している　鮎川　君に「シニアの方の案内大丈夫？」と確認。（会場出入口までスタンバイ）</t>
    <rPh sb="15" eb="17">
      <t>アユカワ</t>
    </rPh>
    <phoneticPr fontId="3"/>
  </si>
  <si>
    <r>
      <rPr>
        <sz val="10"/>
        <color indexed="10"/>
        <rFont val="ＭＳ Ｐゴシック"/>
        <family val="3"/>
        <charset val="128"/>
      </rPr>
      <t>松尾</t>
    </r>
    <r>
      <rPr>
        <sz val="10"/>
        <rFont val="ＭＳ Ｐゴシック"/>
        <family val="3"/>
        <charset val="128"/>
      </rPr>
      <t>の「入場ＯＫ！」の合図を待つ</t>
    </r>
    <rPh sb="0" eb="2">
      <t>マツオ</t>
    </rPh>
    <rPh sb="4" eb="6">
      <t>ニュウジョウ</t>
    </rPh>
    <rPh sb="11" eb="13">
      <t>アイズ</t>
    </rPh>
    <rPh sb="14" eb="15">
      <t>マ</t>
    </rPh>
    <phoneticPr fontId="3"/>
  </si>
  <si>
    <t>高橋から指令を受けたシニアアテンド顧問（山口君・兵働君）が席にご案内する</t>
    <rPh sb="0" eb="2">
      <t>タカハシ</t>
    </rPh>
    <rPh sb="4" eb="6">
      <t>シレイ</t>
    </rPh>
    <rPh sb="7" eb="8">
      <t>ウ</t>
    </rPh>
    <rPh sb="17" eb="19">
      <t>コモン</t>
    </rPh>
    <rPh sb="20" eb="22">
      <t>ヤマグチ</t>
    </rPh>
    <rPh sb="22" eb="23">
      <t>クン</t>
    </rPh>
    <rPh sb="24" eb="26">
      <t>ヒョウドウ</t>
    </rPh>
    <rPh sb="26" eb="27">
      <t>クン</t>
    </rPh>
    <rPh sb="29" eb="30">
      <t>セキ</t>
    </rPh>
    <rPh sb="32" eb="34">
      <t>アンナイ</t>
    </rPh>
    <phoneticPr fontId="3"/>
  </si>
  <si>
    <t>JCICreed唱和      　　　　　　　　　　総務委員会   鶴田　翔　（つるだ　しょう）君</t>
    <rPh sb="8" eb="10">
      <t>ショウワ</t>
    </rPh>
    <rPh sb="26" eb="28">
      <t>ソウム</t>
    </rPh>
    <rPh sb="28" eb="31">
      <t>イインカイ</t>
    </rPh>
    <rPh sb="34" eb="36">
      <t>ツルダ</t>
    </rPh>
    <rPh sb="37" eb="38">
      <t>ショウ</t>
    </rPh>
    <rPh sb="48" eb="49">
      <t>クン</t>
    </rPh>
    <phoneticPr fontId="3"/>
  </si>
  <si>
    <t>JCIMission並びにJCIVison唱和　　総務委員会　森　公照　（もり　ひろあき）君</t>
    <rPh sb="10" eb="11">
      <t>ナラ</t>
    </rPh>
    <rPh sb="25" eb="27">
      <t>ソウム</t>
    </rPh>
    <rPh sb="31" eb="32">
      <t>モリ</t>
    </rPh>
    <rPh sb="33" eb="34">
      <t>コウ</t>
    </rPh>
    <rPh sb="34" eb="35">
      <t>ショウ</t>
    </rPh>
    <rPh sb="45" eb="46">
      <t>クン</t>
    </rPh>
    <phoneticPr fontId="3"/>
  </si>
  <si>
    <t>JC宣言文朗読 ならびに綱領唱和   総務委員会　宮原　陵　（みやはら　りょう）君</t>
    <rPh sb="2" eb="4">
      <t>センゲン</t>
    </rPh>
    <rPh sb="5" eb="7">
      <t>ロウドク</t>
    </rPh>
    <rPh sb="12" eb="14">
      <t>コウリョウ</t>
    </rPh>
    <rPh sb="14" eb="16">
      <t>ショウワ</t>
    </rPh>
    <rPh sb="19" eb="21">
      <t>ソウム</t>
    </rPh>
    <rPh sb="25" eb="27">
      <t>ミヤハラ</t>
    </rPh>
    <rPh sb="28" eb="29">
      <t>リョウ</t>
    </rPh>
    <rPh sb="40" eb="41">
      <t>キミ</t>
    </rPh>
    <phoneticPr fontId="3"/>
  </si>
  <si>
    <t>原岡   議長の張り紙を貼る</t>
    <rPh sb="0" eb="2">
      <t>ハラオカ</t>
    </rPh>
    <phoneticPr fontId="3"/>
  </si>
  <si>
    <t>マイク担当：３名
（鶴田、森、宮原）</t>
    <rPh sb="3" eb="5">
      <t>タントウ</t>
    </rPh>
    <rPh sb="7" eb="8">
      <t>メイ</t>
    </rPh>
    <rPh sb="17" eb="18">
      <t>タイクン</t>
    </rPh>
    <phoneticPr fontId="3"/>
  </si>
  <si>
    <t>アテンド担当の　山口君、兵働君はシニアの方々を先導して控室までお送りする</t>
    <rPh sb="4" eb="6">
      <t>タントウ</t>
    </rPh>
    <rPh sb="8" eb="10">
      <t>ヤマグチ</t>
    </rPh>
    <rPh sb="10" eb="11">
      <t>クン</t>
    </rPh>
    <rPh sb="12" eb="14">
      <t>ヒョウドウ</t>
    </rPh>
    <rPh sb="14" eb="15">
      <t>クン</t>
    </rPh>
    <rPh sb="20" eb="22">
      <t>カタガタ</t>
    </rPh>
    <rPh sb="23" eb="25">
      <t>センドウ</t>
    </rPh>
    <rPh sb="27" eb="29">
      <t>ヒカエシツ</t>
    </rPh>
    <rPh sb="32" eb="33">
      <t>オク</t>
    </rPh>
    <phoneticPr fontId="3"/>
  </si>
  <si>
    <t>原岡、賞状と記念品を理事長に！</t>
    <rPh sb="0" eb="2">
      <t>ハラオカ</t>
    </rPh>
    <rPh sb="3" eb="5">
      <t>ショウジョウ</t>
    </rPh>
    <phoneticPr fontId="3"/>
  </si>
  <si>
    <t>来賓入場</t>
    <rPh sb="0" eb="2">
      <t>ライヒン</t>
    </rPh>
    <rPh sb="2" eb="4">
      <t>ニュウジョウ</t>
    </rPh>
    <phoneticPr fontId="3"/>
  </si>
  <si>
    <t>議長の解任</t>
    <rPh sb="0" eb="2">
      <t>ギチョウ</t>
    </rPh>
    <rPh sb="3" eb="5">
      <t>カイニン</t>
    </rPh>
    <phoneticPr fontId="3"/>
  </si>
  <si>
    <t>○ Web会議用集音マイク＆スピーカー　※適宜専用マイク</t>
    <rPh sb="5" eb="7">
      <t>カイギ</t>
    </rPh>
    <rPh sb="7" eb="8">
      <t>ヨウ</t>
    </rPh>
    <rPh sb="8" eb="10">
      <t>シュウオン</t>
    </rPh>
    <rPh sb="21" eb="23">
      <t>テキギ</t>
    </rPh>
    <rPh sb="23" eb="25">
      <t>センヨウ</t>
    </rPh>
    <phoneticPr fontId="3"/>
  </si>
  <si>
    <t>○ ノートパソコン3台(投影用、配信用、集中管理用)</t>
    <rPh sb="10" eb="11">
      <t>ダイ</t>
    </rPh>
    <rPh sb="12" eb="14">
      <t>トウエイ</t>
    </rPh>
    <rPh sb="14" eb="15">
      <t>ヨウ</t>
    </rPh>
    <rPh sb="16" eb="18">
      <t>ハイシン</t>
    </rPh>
    <rPh sb="18" eb="19">
      <t>ヨウ</t>
    </rPh>
    <rPh sb="20" eb="22">
      <t>シュウチュウ</t>
    </rPh>
    <rPh sb="22" eb="25">
      <t>カンリヨウ</t>
    </rPh>
    <phoneticPr fontId="3"/>
  </si>
  <si>
    <t>Webのため、アテンドなし。</t>
    <phoneticPr fontId="3"/>
  </si>
  <si>
    <t>ＣＤ（国歌斉唱・JCソング）</t>
    <rPh sb="3" eb="5">
      <t>コッカ</t>
    </rPh>
    <rPh sb="5" eb="7">
      <t>セイショウ</t>
    </rPh>
    <phoneticPr fontId="3"/>
  </si>
  <si>
    <t>「議長」貼り・剥がし</t>
    <rPh sb="0" eb="3">
      <t>ギチョ</t>
    </rPh>
    <rPh sb="3" eb="4">
      <t>ハ</t>
    </rPh>
    <rPh sb="7" eb="8">
      <t>ハ</t>
    </rPh>
    <phoneticPr fontId="3"/>
  </si>
  <si>
    <t>鶴田</t>
    <rPh sb="0" eb="2">
      <t>ツルダ</t>
    </rPh>
    <phoneticPr fontId="3"/>
  </si>
  <si>
    <t>監事講評  監事　井内　政徳（いのうち　まさのり）君</t>
    <rPh sb="9" eb="11">
      <t>イウチ</t>
    </rPh>
    <rPh sb="12" eb="13">
      <t>マツリゴト</t>
    </rPh>
    <rPh sb="13" eb="14">
      <t>トク</t>
    </rPh>
    <rPh sb="25" eb="26">
      <t>クン</t>
    </rPh>
    <phoneticPr fontId="3"/>
  </si>
  <si>
    <r>
      <t>大変お待たせいたしました。これより「1月総会」をとりおこないます。本日は、シニア・クラブから会長の　川代　勇一（かわしろ　ゆういち）先輩、副会長の　 下津浦　信啓（しもつうら　のぶひろ）先輩に</t>
    </r>
    <r>
      <rPr>
        <sz val="10"/>
        <color rgb="FF0000CC"/>
        <rFont val="ＭＳ Ｐゴシック"/>
        <family val="3"/>
        <charset val="128"/>
      </rPr>
      <t>ご参加</t>
    </r>
    <r>
      <rPr>
        <sz val="10"/>
        <rFont val="ＭＳ Ｐゴシック"/>
        <family val="3"/>
        <charset val="128"/>
      </rPr>
      <t xml:space="preserve">頂いております。皆様拍手でお迎えください。
</t>
    </r>
    <rPh sb="0" eb="2">
      <t>タイヘン</t>
    </rPh>
    <rPh sb="2" eb="4">
      <t>オマ</t>
    </rPh>
    <rPh sb="20" eb="22">
      <t>ソウカイ</t>
    </rPh>
    <rPh sb="33" eb="35">
      <t>ホンジツ</t>
    </rPh>
    <rPh sb="50" eb="52">
      <t>カワシロ</t>
    </rPh>
    <rPh sb="53" eb="55">
      <t>ユウイチ</t>
    </rPh>
    <rPh sb="66" eb="68">
      <t>センパイ</t>
    </rPh>
    <rPh sb="69" eb="72">
      <t>フクカイチョウ</t>
    </rPh>
    <rPh sb="75" eb="77">
      <t>シモツ</t>
    </rPh>
    <rPh sb="77" eb="78">
      <t>ウラ</t>
    </rPh>
    <rPh sb="79" eb="81">
      <t>ノブヒロ</t>
    </rPh>
    <rPh sb="97" eb="99">
      <t>サンカ</t>
    </rPh>
    <rPh sb="107" eb="109">
      <t>ミナサマ</t>
    </rPh>
    <rPh sb="109" eb="111">
      <t>ハクシュ</t>
    </rPh>
    <rPh sb="112" eb="114">
      <t>オムカ</t>
    </rPh>
    <phoneticPr fontId="3"/>
  </si>
  <si>
    <t>百島</t>
    <rPh sb="0" eb="2">
      <t>モモシマ</t>
    </rPh>
    <phoneticPr fontId="3"/>
  </si>
  <si>
    <t>松尾/田中</t>
    <rPh sb="0" eb="2">
      <t>マツオ</t>
    </rPh>
    <rPh sb="3" eb="5">
      <t>タナカ</t>
    </rPh>
    <phoneticPr fontId="3"/>
  </si>
  <si>
    <t>森、宮原</t>
    <rPh sb="0" eb="1">
      <t>モリ</t>
    </rPh>
    <rPh sb="2" eb="4">
      <t>ミヤハラ</t>
    </rPh>
    <phoneticPr fontId="3"/>
  </si>
  <si>
    <t>鶴田、森、宮原</t>
    <rPh sb="0" eb="2">
      <t>ツルタ</t>
    </rPh>
    <rPh sb="3" eb="4">
      <t>モリ</t>
    </rPh>
    <rPh sb="5" eb="7">
      <t>ミヤハラ</t>
    </rPh>
    <phoneticPr fontId="3"/>
  </si>
  <si>
    <t>＊ 3名は一番右前席より着席</t>
    <rPh sb="3" eb="4">
      <t>メイ</t>
    </rPh>
    <rPh sb="5" eb="7">
      <t>イチバン</t>
    </rPh>
    <rPh sb="7" eb="8">
      <t>ミギ</t>
    </rPh>
    <rPh sb="8" eb="9">
      <t>マエ</t>
    </rPh>
    <rPh sb="9" eb="10">
      <t>セキ</t>
    </rPh>
    <rPh sb="12" eb="14">
      <t>チャクセキ</t>
    </rPh>
    <phoneticPr fontId="3"/>
  </si>
  <si>
    <t>＊ 2名はセレモニー終了後、離席しマイク係へ</t>
    <rPh sb="3" eb="4">
      <t>メイ</t>
    </rPh>
    <rPh sb="10" eb="13">
      <t>シュウリョウゴ</t>
    </rPh>
    <rPh sb="14" eb="16">
      <t>リセキ</t>
    </rPh>
    <rPh sb="20" eb="21">
      <t>カカリ</t>
    </rPh>
    <phoneticPr fontId="3"/>
  </si>
  <si>
    <t>鮎川 →高橋へ　1) 定足数 = 来賓紹介前まで　2）出席率 = 来賓退場直後　（ＬＩＮＥでも紙でもOK。打ち合わせを！）</t>
    <rPh sb="0" eb="2">
      <t>アユカワ</t>
    </rPh>
    <rPh sb="4" eb="6">
      <t>タカハシ</t>
    </rPh>
    <rPh sb="11" eb="14">
      <t>テイs</t>
    </rPh>
    <rPh sb="17" eb="21">
      <t>ライヒン</t>
    </rPh>
    <rPh sb="21" eb="24">
      <t>マ</t>
    </rPh>
    <rPh sb="27" eb="30">
      <t>シュッs</t>
    </rPh>
    <rPh sb="33" eb="37">
      <t>ライヒン</t>
    </rPh>
    <rPh sb="37" eb="39">
      <t>チョk</t>
    </rPh>
    <rPh sb="47" eb="50">
      <t>カミd</t>
    </rPh>
    <rPh sb="53" eb="54">
      <t>ウ</t>
    </rPh>
    <rPh sb="55" eb="61">
      <t>アワs</t>
    </rPh>
    <phoneticPr fontId="3"/>
  </si>
  <si>
    <t>＊ 会館には、16時まで待機し、高橋に確認後、会場に向かってください。</t>
    <rPh sb="2" eb="6">
      <t>カイカン</t>
    </rPh>
    <rPh sb="9" eb="10">
      <t>ジ</t>
    </rPh>
    <rPh sb="12" eb="14">
      <t>タイk</t>
    </rPh>
    <rPh sb="16" eb="18">
      <t>タカハシ</t>
    </rPh>
    <rPh sb="19" eb="23">
      <t>カクニン</t>
    </rPh>
    <rPh sb="23" eb="26">
      <t>カイj</t>
    </rPh>
    <rPh sb="26" eb="35">
      <t>ムカッt</t>
    </rPh>
    <phoneticPr fontId="3"/>
  </si>
  <si>
    <t>高橋　/　横尾　/　森　/　松並室長（会館待機16:00まで）　/　鶴田　/　宮原</t>
    <rPh sb="0" eb="2">
      <t>タカハシ</t>
    </rPh>
    <rPh sb="5" eb="7">
      <t>ヨコオ</t>
    </rPh>
    <rPh sb="10" eb="11">
      <t>モリ</t>
    </rPh>
    <rPh sb="14" eb="16">
      <t>マツナミ</t>
    </rPh>
    <rPh sb="16" eb="18">
      <t>シツチョウ</t>
    </rPh>
    <rPh sb="34" eb="36">
      <t>ツルダ</t>
    </rPh>
    <rPh sb="39" eb="41">
      <t>ミヤハラ</t>
    </rPh>
    <phoneticPr fontId="3"/>
  </si>
  <si>
    <t>高橋/横尾　</t>
    <rPh sb="0" eb="2">
      <t>タカハシ</t>
    </rPh>
    <rPh sb="3" eb="5">
      <t>ヨコオ</t>
    </rPh>
    <phoneticPr fontId="3"/>
  </si>
  <si>
    <t>全体統括　：　高橋</t>
    <rPh sb="0" eb="6">
      <t>ゼンタ</t>
    </rPh>
    <rPh sb="7" eb="9">
      <t>タ</t>
    </rPh>
    <phoneticPr fontId="3"/>
  </si>
  <si>
    <t>Ｚｏｏｍ集中管理</t>
    <rPh sb="4" eb="6">
      <t>シュウチュウ</t>
    </rPh>
    <rPh sb="6" eb="8">
      <t>カンリ</t>
    </rPh>
    <phoneticPr fontId="3"/>
  </si>
  <si>
    <t>森</t>
    <rPh sb="0" eb="1">
      <t>モリ</t>
    </rPh>
    <phoneticPr fontId="3"/>
  </si>
  <si>
    <t>西村</t>
    <rPh sb="0" eb="2">
      <t>ニシムラ</t>
    </rPh>
    <phoneticPr fontId="3"/>
  </si>
  <si>
    <t>開会の辞            副理事長 　園田耕太郎（そのだ　こうたろう ）君</t>
    <rPh sb="0" eb="2">
      <t>カイカイ</t>
    </rPh>
    <rPh sb="3" eb="4">
      <t>ジ</t>
    </rPh>
    <rPh sb="16" eb="17">
      <t>フク</t>
    </rPh>
    <rPh sb="17" eb="20">
      <t>リジチョウ</t>
    </rPh>
    <rPh sb="22" eb="24">
      <t>ソノダ</t>
    </rPh>
    <rPh sb="24" eb="27">
      <t>コウタロウ</t>
    </rPh>
    <rPh sb="39" eb="40">
      <t>キミ</t>
    </rPh>
    <phoneticPr fontId="3"/>
  </si>
  <si>
    <t>オン</t>
    <phoneticPr fontId="3"/>
  </si>
  <si>
    <t>参加状況によって要変更</t>
    <rPh sb="0" eb="2">
      <t>サンカ</t>
    </rPh>
    <rPh sb="2" eb="4">
      <t>ジョウキョウ</t>
    </rPh>
    <rPh sb="8" eb="9">
      <t>ヨウ</t>
    </rPh>
    <rPh sb="9" eb="11">
      <t>ヘンコウ</t>
    </rPh>
    <phoneticPr fontId="3"/>
  </si>
  <si>
    <t>マイク係2名（森、宮原）はマイクを持参して会場2隅で待機。</t>
    <rPh sb="3" eb="4">
      <t>カカリ</t>
    </rPh>
    <rPh sb="5" eb="6">
      <t>メイ</t>
    </rPh>
    <rPh sb="7" eb="8">
      <t>モリ</t>
    </rPh>
    <rPh sb="9" eb="11">
      <t>ミヤハラ</t>
    </rPh>
    <rPh sb="17" eb="19">
      <t>ジサン</t>
    </rPh>
    <rPh sb="21" eb="23">
      <t>カイジョウ</t>
    </rPh>
    <rPh sb="24" eb="25">
      <t>スミ</t>
    </rPh>
    <rPh sb="26" eb="28">
      <t>タイキ</t>
    </rPh>
    <phoneticPr fontId="3"/>
  </si>
  <si>
    <t>マイク担当：２名
（森、宮原）</t>
    <rPh sb="3" eb="5">
      <t>タントウ</t>
    </rPh>
    <rPh sb="7" eb="8">
      <t>メイ</t>
    </rPh>
    <rPh sb="14" eb="15">
      <t>タイクン</t>
    </rPh>
    <phoneticPr fontId="3"/>
  </si>
  <si>
    <t>担当</t>
    <rPh sb="0" eb="2">
      <t>タントウ</t>
    </rPh>
    <phoneticPr fontId="3"/>
  </si>
  <si>
    <t>横尾</t>
    <rPh sb="0" eb="2">
      <t>ヨコオ</t>
    </rPh>
    <phoneticPr fontId="3"/>
  </si>
  <si>
    <t>司会</t>
    <rPh sb="0" eb="2">
      <t>シカイ</t>
    </rPh>
    <phoneticPr fontId="3"/>
  </si>
  <si>
    <t>全員</t>
    <rPh sb="0" eb="2">
      <t>ゼンイン</t>
    </rPh>
    <phoneticPr fontId="3"/>
  </si>
  <si>
    <t>宮原</t>
    <rPh sb="0" eb="2">
      <t>ミヤハラ</t>
    </rPh>
    <phoneticPr fontId="3"/>
  </si>
  <si>
    <t>高橋</t>
    <rPh sb="0" eb="2">
      <t>タカハシ</t>
    </rPh>
    <phoneticPr fontId="3"/>
  </si>
  <si>
    <t>只今より定足数の確認を行ないます。　　高橋委員長お願い致します。</t>
    <rPh sb="0" eb="2">
      <t>タダイマ</t>
    </rPh>
    <rPh sb="4" eb="5">
      <t>テイソク</t>
    </rPh>
    <rPh sb="5" eb="6">
      <t>アシ</t>
    </rPh>
    <rPh sb="6" eb="7">
      <t>スウ</t>
    </rPh>
    <rPh sb="8" eb="10">
      <t>カクニン</t>
    </rPh>
    <rPh sb="11" eb="12">
      <t>オコ</t>
    </rPh>
    <rPh sb="19" eb="21">
      <t>タカハシ</t>
    </rPh>
    <rPh sb="21" eb="24">
      <t>イインチョウ</t>
    </rPh>
    <rPh sb="25" eb="26">
      <t>ネガ</t>
    </rPh>
    <rPh sb="27" eb="28">
      <t>イタ</t>
    </rPh>
    <phoneticPr fontId="3"/>
  </si>
  <si>
    <t>古川理事長</t>
    <rPh sb="0" eb="2">
      <t>フルカワ</t>
    </rPh>
    <rPh sb="2" eb="5">
      <t>リジチョウ</t>
    </rPh>
    <phoneticPr fontId="3"/>
  </si>
  <si>
    <t>松並室長</t>
    <rPh sb="0" eb="2">
      <t>マツナミ</t>
    </rPh>
    <rPh sb="2" eb="4">
      <t>シツチョウ</t>
    </rPh>
    <phoneticPr fontId="3"/>
  </si>
  <si>
    <r>
      <t>ここでシニアクラブの先輩（方）が退場されます。
皆様ご起立の上、拍手を</t>
    </r>
    <r>
      <rPr>
        <sz val="10"/>
        <color rgb="FF0000CC"/>
        <rFont val="ＭＳ Ｐゴシック"/>
        <family val="3"/>
        <charset val="128"/>
      </rPr>
      <t>お願いします。</t>
    </r>
    <rPh sb="16" eb="18">
      <t>タイジョウ</t>
    </rPh>
    <rPh sb="24" eb="26">
      <t>ミナサマ</t>
    </rPh>
    <rPh sb="36" eb="37">
      <t>ネガ</t>
    </rPh>
    <phoneticPr fontId="3"/>
  </si>
  <si>
    <t>閉会の辞  副理事長 　吉村　篤 （よしむら　あつし）君</t>
    <rPh sb="0" eb="2">
      <t>ヘイカイ</t>
    </rPh>
    <rPh sb="3" eb="4">
      <t>ジ</t>
    </rPh>
    <rPh sb="6" eb="10">
      <t>フクリジチョウ</t>
    </rPh>
    <rPh sb="12" eb="14">
      <t>ヨシムラ</t>
    </rPh>
    <rPh sb="15" eb="16">
      <t>アツシ</t>
    </rPh>
    <rPh sb="27" eb="28">
      <t>クン</t>
    </rPh>
    <phoneticPr fontId="3"/>
  </si>
  <si>
    <t>古川理事長参考</t>
    <rPh sb="0" eb="2">
      <t>フルカワ</t>
    </rPh>
    <rPh sb="2" eb="5">
      <t>リジチョウ</t>
    </rPh>
    <rPh sb="5" eb="7">
      <t>サンコウ</t>
    </rPh>
    <phoneticPr fontId="3"/>
  </si>
  <si>
    <t>議長のお許しを得まして、総務室長の松並　陽一 （まつなみ　よういち）君に説明をお願いしたいのですがいかがでしょうか？ 
※松並君欠席の場合は、総務委員会委員長　高橋　佑輔君</t>
    <rPh sb="0" eb="2">
      <t>ギチョウ</t>
    </rPh>
    <rPh sb="3" eb="5">
      <t>オユル</t>
    </rPh>
    <rPh sb="7" eb="8">
      <t>エ</t>
    </rPh>
    <rPh sb="12" eb="14">
      <t>ソウム</t>
    </rPh>
    <rPh sb="14" eb="16">
      <t>シツチョウ</t>
    </rPh>
    <rPh sb="15" eb="16">
      <t>チョウ</t>
    </rPh>
    <rPh sb="17" eb="19">
      <t>マツナミ</t>
    </rPh>
    <rPh sb="20" eb="22">
      <t>ヨウイチ</t>
    </rPh>
    <rPh sb="34" eb="35">
      <t>クン</t>
    </rPh>
    <rPh sb="36" eb="38">
      <t>セツメイ</t>
    </rPh>
    <rPh sb="39" eb="41">
      <t>オネガ</t>
    </rPh>
    <rPh sb="61" eb="63">
      <t>マツナミ</t>
    </rPh>
    <rPh sb="63" eb="64">
      <t>クン</t>
    </rPh>
    <rPh sb="73" eb="76">
      <t>イインカイ</t>
    </rPh>
    <rPh sb="76" eb="79">
      <t>イインチョウ</t>
    </rPh>
    <rPh sb="80" eb="82">
      <t>タカハシ</t>
    </rPh>
    <rPh sb="83" eb="85">
      <t>ユウスケ</t>
    </rPh>
    <rPh sb="85" eb="86">
      <t>クン</t>
    </rPh>
    <phoneticPr fontId="3"/>
  </si>
  <si>
    <t>それでは ２０２１年度、総務室長の松並　陽一（まつなみ　よういち）君お願いします。
※松並君欠席の場合は、総務委員会委員長　高橋　佑輔君</t>
    <rPh sb="12" eb="14">
      <t>ソウム</t>
    </rPh>
    <rPh sb="14" eb="16">
      <t>シツチョウ</t>
    </rPh>
    <rPh sb="17" eb="19">
      <t>マツナミ</t>
    </rPh>
    <rPh sb="20" eb="22">
      <t>ヨウイチ</t>
    </rPh>
    <rPh sb="33" eb="34">
      <t>クン</t>
    </rPh>
    <rPh sb="35" eb="36">
      <t>ネガ</t>
    </rPh>
    <rPh sb="43" eb="45">
      <t>マツナミ</t>
    </rPh>
    <rPh sb="62" eb="64">
      <t>タカハシ</t>
    </rPh>
    <rPh sb="65" eb="67">
      <t>ユウスケ</t>
    </rPh>
    <rPh sb="67" eb="68">
      <t>クン</t>
    </rPh>
    <phoneticPr fontId="3"/>
  </si>
  <si>
    <t>２０２１年度、総務室長　松並　陽一 君　　　　　　　　（議案説明）
※松並君欠席の場合は、２０２１年度総務委員会委員長　高橋　佑輔君</t>
    <rPh sb="4" eb="6">
      <t>ネンド</t>
    </rPh>
    <rPh sb="7" eb="9">
      <t>ソウム</t>
    </rPh>
    <rPh sb="9" eb="11">
      <t>シツチョウ</t>
    </rPh>
    <rPh sb="12" eb="14">
      <t>マツナミ</t>
    </rPh>
    <rPh sb="15" eb="17">
      <t>ヨウイチ</t>
    </rPh>
    <rPh sb="28" eb="30">
      <t>ギアン</t>
    </rPh>
    <rPh sb="30" eb="32">
      <t>セツメイ</t>
    </rPh>
    <rPh sb="35" eb="37">
      <t>マツナミ</t>
    </rPh>
    <rPh sb="60" eb="62">
      <t>タカハシ</t>
    </rPh>
    <rPh sb="63" eb="65">
      <t>ユウスケ</t>
    </rPh>
    <phoneticPr fontId="3"/>
  </si>
  <si>
    <t>松並</t>
    <rPh sb="0" eb="2">
      <t>マツナミ</t>
    </rPh>
    <phoneticPr fontId="3"/>
  </si>
  <si>
    <t>２０２1年 １月総会　シナリオ（案）　※ハイブリッドの場合</t>
    <rPh sb="4" eb="5">
      <t>ネン</t>
    </rPh>
    <rPh sb="7" eb="8">
      <t>ガts</t>
    </rPh>
    <rPh sb="8" eb="10">
      <t>ソウカ</t>
    </rPh>
    <rPh sb="16" eb="17">
      <t>アン</t>
    </rPh>
    <rPh sb="27" eb="29">
      <t>バアイ</t>
    </rPh>
    <phoneticPr fontId="3"/>
  </si>
  <si>
    <t xml:space="preserve">定足数を発表いたします。 
会員数　　　９２名、内会場出席者数   　　　名、委任状提出　　　　名、議決権行使書提出　　    　　 名、合計 　　   　  名  </t>
    <rPh sb="0" eb="2">
      <t>テイソク</t>
    </rPh>
    <rPh sb="2" eb="3">
      <t>スウ</t>
    </rPh>
    <rPh sb="4" eb="6">
      <t>ハッピョウ</t>
    </rPh>
    <rPh sb="14" eb="17">
      <t>カイインスウ</t>
    </rPh>
    <rPh sb="22" eb="23">
      <t>メイ</t>
    </rPh>
    <rPh sb="24" eb="25">
      <t>ウチ</t>
    </rPh>
    <rPh sb="25" eb="27">
      <t>カイジョウ</t>
    </rPh>
    <rPh sb="27" eb="30">
      <t>シュッセキシャ</t>
    </rPh>
    <rPh sb="30" eb="31">
      <t>スウ</t>
    </rPh>
    <rPh sb="37" eb="38">
      <t>メイ</t>
    </rPh>
    <rPh sb="39" eb="42">
      <t>イニンジョウ</t>
    </rPh>
    <rPh sb="42" eb="44">
      <t>テイシュツ</t>
    </rPh>
    <rPh sb="48" eb="49">
      <t>メイ</t>
    </rPh>
    <rPh sb="50" eb="53">
      <t>ギケツケン</t>
    </rPh>
    <rPh sb="53" eb="55">
      <t>コウシ</t>
    </rPh>
    <rPh sb="55" eb="56">
      <t>ショ</t>
    </rPh>
    <rPh sb="56" eb="58">
      <t>テイシュツ</t>
    </rPh>
    <rPh sb="67" eb="68">
      <t>メイ</t>
    </rPh>
    <rPh sb="69" eb="71">
      <t>ゴウケイ</t>
    </rPh>
    <rPh sb="80" eb="81">
      <t>ナ</t>
    </rPh>
    <phoneticPr fontId="3"/>
  </si>
  <si>
    <t>第3号議案</t>
    <rPh sb="0" eb="1">
      <t>ダイ</t>
    </rPh>
    <rPh sb="2" eb="3">
      <t>ゴウ</t>
    </rPh>
    <rPh sb="3" eb="5">
      <t>ギアン</t>
    </rPh>
    <phoneticPr fontId="3"/>
  </si>
  <si>
    <t>第３号議案　「２０２１年度収支予算（案）承認の件」</t>
    <rPh sb="0" eb="1">
      <t>ダイ</t>
    </rPh>
    <rPh sb="2" eb="3">
      <t>ゴウ</t>
    </rPh>
    <rPh sb="3" eb="5">
      <t>ギアン</t>
    </rPh>
    <phoneticPr fontId="3"/>
  </si>
  <si>
    <t>第２号議案　「６５周年事業に伴う基金切り崩し一般会計繰入（案）承認の件」</t>
    <rPh sb="0" eb="1">
      <t>ダイ</t>
    </rPh>
    <rPh sb="2" eb="3">
      <t>ゴウ</t>
    </rPh>
    <rPh sb="3" eb="5">
      <t>ギアン</t>
    </rPh>
    <rPh sb="9" eb="11">
      <t>シュウネン</t>
    </rPh>
    <rPh sb="11" eb="13">
      <t>ジギョウ</t>
    </rPh>
    <rPh sb="14" eb="15">
      <t>トモナ</t>
    </rPh>
    <rPh sb="16" eb="18">
      <t>キキン</t>
    </rPh>
    <rPh sb="18" eb="19">
      <t>キ</t>
    </rPh>
    <rPh sb="20" eb="21">
      <t>クズ</t>
    </rPh>
    <rPh sb="22" eb="24">
      <t>イッパン</t>
    </rPh>
    <rPh sb="24" eb="26">
      <t>カイケイ</t>
    </rPh>
    <rPh sb="26" eb="28">
      <t>クリイレ</t>
    </rPh>
    <phoneticPr fontId="3"/>
  </si>
  <si>
    <t>■ 当日委員会スタッフは  ＜14：00会館集合＞　メンバーは＜16：00迄会場集合＞　＜16：30～リハーサル＞</t>
    <rPh sb="2" eb="4">
      <t>トウジツ</t>
    </rPh>
    <rPh sb="20" eb="22">
      <t>カイカン</t>
    </rPh>
    <rPh sb="22" eb="24">
      <t>シュウゴウ</t>
    </rPh>
    <rPh sb="37" eb="38">
      <t>マデ</t>
    </rPh>
    <rPh sb="38" eb="40">
      <t>カイジョウ</t>
    </rPh>
    <rPh sb="40" eb="42">
      <t>シュウ</t>
    </rPh>
    <phoneticPr fontId="3"/>
  </si>
  <si>
    <t xml:space="preserve">定足数を発表いたします。 
会員数　　　９１名、内会場出席者数   　　　名、委任状提出　　　　名、議決権行使書提出　　    　　 名、合計 　　   　  名  </t>
    <rPh sb="0" eb="2">
      <t>テイソク</t>
    </rPh>
    <rPh sb="2" eb="3">
      <t>スウ</t>
    </rPh>
    <rPh sb="4" eb="6">
      <t>ハッピョウ</t>
    </rPh>
    <rPh sb="14" eb="17">
      <t>カイインスウ</t>
    </rPh>
    <rPh sb="22" eb="23">
      <t>メイ</t>
    </rPh>
    <rPh sb="24" eb="25">
      <t>ウチ</t>
    </rPh>
    <rPh sb="25" eb="27">
      <t>カイジョウ</t>
    </rPh>
    <rPh sb="27" eb="30">
      <t>シュッセキシャ</t>
    </rPh>
    <rPh sb="30" eb="31">
      <t>スウ</t>
    </rPh>
    <rPh sb="37" eb="38">
      <t>メイ</t>
    </rPh>
    <rPh sb="39" eb="42">
      <t>イニンジョウ</t>
    </rPh>
    <rPh sb="42" eb="44">
      <t>テイシュツ</t>
    </rPh>
    <rPh sb="48" eb="49">
      <t>メイ</t>
    </rPh>
    <rPh sb="50" eb="53">
      <t>ギケツケン</t>
    </rPh>
    <rPh sb="53" eb="55">
      <t>コウシ</t>
    </rPh>
    <rPh sb="55" eb="56">
      <t>ショ</t>
    </rPh>
    <rPh sb="56" eb="58">
      <t>テイシュツ</t>
    </rPh>
    <rPh sb="67" eb="68">
      <t>メイ</t>
    </rPh>
    <rPh sb="69" eb="71">
      <t>ゴウケイ</t>
    </rPh>
    <rPh sb="80" eb="81">
      <t>ナ</t>
    </rPh>
    <phoneticPr fontId="3"/>
  </si>
  <si>
    <t>皆様のおかげをもちまして「３議案」ともご承認いただきました。ありがとうございます。
 これで議長の任を解かせて頂きます。</t>
    <rPh sb="0" eb="2">
      <t>ミナサマ</t>
    </rPh>
    <rPh sb="14" eb="16">
      <t>ギアン</t>
    </rPh>
    <rPh sb="20" eb="22">
      <t>ショウニン</t>
    </rPh>
    <rPh sb="46" eb="48">
      <t>ギチョウ</t>
    </rPh>
    <rPh sb="49" eb="50">
      <t>ニン</t>
    </rPh>
    <rPh sb="51" eb="52">
      <t>ト</t>
    </rPh>
    <rPh sb="55" eb="56">
      <t>イタダ</t>
    </rPh>
    <phoneticPr fontId="3"/>
  </si>
  <si>
    <t>高橋　/　松尾</t>
    <rPh sb="0" eb="2">
      <t>タカハシ</t>
    </rPh>
    <rPh sb="5" eb="7">
      <t>マツオ</t>
    </rPh>
    <phoneticPr fontId="3"/>
  </si>
  <si>
    <t>リハーサル</t>
    <phoneticPr fontId="3"/>
  </si>
  <si>
    <t>○ 白手袋　　　○ 体温計</t>
    <rPh sb="2" eb="3">
      <t>シロ</t>
    </rPh>
    <rPh sb="3" eb="5">
      <t>テブクロ</t>
    </rPh>
    <rPh sb="10" eb="13">
      <t>タイオンケイ</t>
    </rPh>
    <phoneticPr fontId="3"/>
  </si>
  <si>
    <t>横尾　/　森　/　鶴田 　/　宮原　/　鮎川　 /　原　/　原岡　/　武冨</t>
    <rPh sb="0" eb="2">
      <t>ヨコオ</t>
    </rPh>
    <rPh sb="5" eb="6">
      <t>モリ</t>
    </rPh>
    <rPh sb="9" eb="11">
      <t>ツルタ</t>
    </rPh>
    <rPh sb="15" eb="17">
      <t>ミヤハラ</t>
    </rPh>
    <rPh sb="20" eb="22">
      <t>アユカワ</t>
    </rPh>
    <rPh sb="26" eb="27">
      <t>ゲン</t>
    </rPh>
    <rPh sb="30" eb="32">
      <t>ハラオカ</t>
    </rPh>
    <rPh sb="35" eb="37">
      <t>タケトミ</t>
    </rPh>
    <phoneticPr fontId="3"/>
  </si>
  <si>
    <t>鮎川</t>
    <rPh sb="0" eb="2">
      <t>アユカワ</t>
    </rPh>
    <phoneticPr fontId="3"/>
  </si>
  <si>
    <t>松尾/原岡</t>
    <rPh sb="0" eb="2">
      <t>マツオ</t>
    </rPh>
    <rPh sb="3" eb="5">
      <t>ハラオカ</t>
    </rPh>
    <phoneticPr fontId="3"/>
  </si>
  <si>
    <t>○ １）感謝状（縦型）　２）記念品(目録封筒のみ）　３）賞状をのせるおぼん</t>
    <rPh sb="8" eb="10">
      <t>タテガタ</t>
    </rPh>
    <rPh sb="14" eb="17">
      <t>キネンヒン</t>
    </rPh>
    <rPh sb="18" eb="20">
      <t>モクロク</t>
    </rPh>
    <rPh sb="20" eb="22">
      <t>フウトウ</t>
    </rPh>
    <phoneticPr fontId="3"/>
  </si>
  <si>
    <r>
      <t>○２０２１年度基本資料＆手帳</t>
    </r>
    <r>
      <rPr>
        <sz val="10"/>
        <color rgb="FFFF0000"/>
        <rFont val="ＭＳ Ｐゴシック"/>
        <family val="3"/>
        <charset val="128"/>
      </rPr>
      <t>(氏名シールありか確認！）</t>
    </r>
    <rPh sb="5" eb="7">
      <t>ネンド</t>
    </rPh>
    <rPh sb="7" eb="9">
      <t>キホン</t>
    </rPh>
    <rPh sb="9" eb="11">
      <t>シリョウ</t>
    </rPh>
    <rPh sb="12" eb="14">
      <t>テチョウ</t>
    </rPh>
    <rPh sb="15" eb="17">
      <t>シメイ</t>
    </rPh>
    <rPh sb="23" eb="25">
      <t>カクニン</t>
    </rPh>
    <phoneticPr fontId="3"/>
  </si>
  <si>
    <t>続きまして、シニア・クラブ副会長の下津浦　信啓（しもつうら　のぶひろ）先輩よりご挨拶頂きます。　
下津浦先輩、宜しくお願い致します。</t>
    <rPh sb="0" eb="1">
      <t>ツヅ</t>
    </rPh>
    <rPh sb="13" eb="14">
      <t>フク</t>
    </rPh>
    <rPh sb="17" eb="20">
      <t>シモツウラ</t>
    </rPh>
    <rPh sb="21" eb="22">
      <t>ノブ</t>
    </rPh>
    <rPh sb="22" eb="23">
      <t>ケイ</t>
    </rPh>
    <rPh sb="45" eb="47">
      <t>センパイ</t>
    </rPh>
    <rPh sb="49" eb="51">
      <t>シモヅ</t>
    </rPh>
    <rPh sb="51" eb="52">
      <t>ウラ</t>
    </rPh>
    <rPh sb="52" eb="54">
      <t>センパイ</t>
    </rPh>
    <rPh sb="53" eb="54">
      <t>イタダ</t>
    </rPh>
    <rPh sb="62" eb="64">
      <t>センパイ</t>
    </rPh>
    <rPh sb="65" eb="66">
      <t>ヨロ</t>
    </rPh>
    <rPh sb="69" eb="70">
      <t>ネガ</t>
    </rPh>
    <rPh sb="71" eb="72">
      <t>イタ</t>
    </rPh>
    <phoneticPr fontId="3"/>
  </si>
  <si>
    <t>（挨拶後）下津浦　信啓（しもつうら　のぶひろ）先輩　ありがとうございました。</t>
    <rPh sb="1" eb="3">
      <t>アイサツ</t>
    </rPh>
    <rPh sb="3" eb="4">
      <t>ゴ</t>
    </rPh>
    <rPh sb="5" eb="8">
      <t>シモツウラ</t>
    </rPh>
    <rPh sb="9" eb="10">
      <t>ノブ</t>
    </rPh>
    <rPh sb="10" eb="11">
      <t>ケイ</t>
    </rPh>
    <rPh sb="23" eb="25">
      <t>センパイ</t>
    </rPh>
    <phoneticPr fontId="3"/>
  </si>
  <si>
    <t>まず第４号その他の議案をお持ちの方いらっしゃいますか？ないようですので第４号議案その他を削除いたします。</t>
    <rPh sb="2" eb="3">
      <t>ダイ</t>
    </rPh>
    <rPh sb="4" eb="5">
      <t>ゴウ</t>
    </rPh>
    <rPh sb="7" eb="8">
      <t>タ</t>
    </rPh>
    <rPh sb="9" eb="11">
      <t>ギアン</t>
    </rPh>
    <rPh sb="13" eb="14">
      <t>モ</t>
    </rPh>
    <rPh sb="16" eb="17">
      <t>カタ</t>
    </rPh>
    <rPh sb="35" eb="36">
      <t>ダイ</t>
    </rPh>
    <rPh sb="37" eb="38">
      <t>ゴウ</t>
    </rPh>
    <rPh sb="38" eb="40">
      <t>ギアン</t>
    </rPh>
    <rPh sb="42" eb="43">
      <t>タ</t>
    </rPh>
    <rPh sb="44" eb="46">
      <t>サクジョ</t>
    </rPh>
    <phoneticPr fontId="3"/>
  </si>
  <si>
    <t>西村直前理事長への感謝状及び記念品の贈呈　西村直前理事長、古川理事長ご登壇ください。</t>
    <rPh sb="0" eb="2">
      <t>ニシムラ</t>
    </rPh>
    <rPh sb="2" eb="4">
      <t>チョクゼン</t>
    </rPh>
    <rPh sb="4" eb="7">
      <t>リジチョウ</t>
    </rPh>
    <rPh sb="9" eb="12">
      <t>カンシャジョウ</t>
    </rPh>
    <rPh sb="12" eb="13">
      <t>オヨ</t>
    </rPh>
    <rPh sb="14" eb="17">
      <t>キネンヒン</t>
    </rPh>
    <rPh sb="18" eb="20">
      <t>ゾウテイ</t>
    </rPh>
    <rPh sb="21" eb="23">
      <t>ニシムラ</t>
    </rPh>
    <rPh sb="23" eb="25">
      <t>チョクゼン</t>
    </rPh>
    <rPh sb="25" eb="28">
      <t>リジチョウ</t>
    </rPh>
    <rPh sb="29" eb="31">
      <t>フルカワ</t>
    </rPh>
    <rPh sb="31" eb="34">
      <t>リジチョウ</t>
    </rPh>
    <rPh sb="35" eb="37">
      <t>トウダン</t>
    </rPh>
    <phoneticPr fontId="3"/>
  </si>
  <si>
    <t>鮎川、賞状と記念品を理事長に！</t>
    <rPh sb="0" eb="2">
      <t>アユカワ</t>
    </rPh>
    <rPh sb="3" eb="5">
      <t>ショウジョウ</t>
    </rPh>
    <phoneticPr fontId="3"/>
  </si>
  <si>
    <r>
      <t>ここでシニアクラブの先輩（方）が退場されます。
皆様ご起立の上、拍手にてお送りください。</t>
    </r>
    <r>
      <rPr>
        <b/>
        <i/>
        <sz val="10"/>
        <rFont val="ＭＳ Ｐゴシック"/>
        <family val="3"/>
        <charset val="128"/>
      </rPr>
      <t xml:space="preserve"> </t>
    </r>
    <r>
      <rPr>
        <sz val="10"/>
        <rFont val="ＭＳ Ｐゴシック"/>
        <family val="3"/>
        <charset val="128"/>
      </rPr>
      <t>（パチパチ）
（拍手終了後）
皆様ご着席ください。</t>
    </r>
    <rPh sb="16" eb="18">
      <t>タイジョウ</t>
    </rPh>
    <rPh sb="24" eb="26">
      <t>ミナサマ</t>
    </rPh>
    <rPh sb="54" eb="56">
      <t>ハクシュ</t>
    </rPh>
    <rPh sb="56" eb="59">
      <t>シュウリョウゴ</t>
    </rPh>
    <rPh sb="61" eb="63">
      <t>ミナサマ</t>
    </rPh>
    <rPh sb="64" eb="66">
      <t>チャクセキ</t>
    </rPh>
    <phoneticPr fontId="3"/>
  </si>
  <si>
    <t>この議案に対し、何かご質問はありませんでしょうか？
無ければ採決に移らせていただきます。
「第１号議案　２０２０年度収支決算（案）承認の件｣
この議案に賛成の方は挙手をお願いいたします。　
反対の方は挙手をお願いいたします。
棄権の方は挙手をお願いいたします。</t>
    <rPh sb="2" eb="4">
      <t>ギアン</t>
    </rPh>
    <rPh sb="5" eb="6">
      <t>タイ</t>
    </rPh>
    <rPh sb="8" eb="9">
      <t>ナニ</t>
    </rPh>
    <rPh sb="11" eb="13">
      <t>シツモン</t>
    </rPh>
    <rPh sb="26" eb="27">
      <t>ナ</t>
    </rPh>
    <rPh sb="30" eb="32">
      <t>サイケツ</t>
    </rPh>
    <rPh sb="33" eb="34">
      <t>ウツ</t>
    </rPh>
    <rPh sb="73" eb="75">
      <t>ギアン</t>
    </rPh>
    <rPh sb="76" eb="78">
      <t>サンセイ</t>
    </rPh>
    <rPh sb="79" eb="80">
      <t>カタ</t>
    </rPh>
    <rPh sb="81" eb="83">
      <t>キョシュ</t>
    </rPh>
    <rPh sb="85" eb="86">
      <t>ネガ</t>
    </rPh>
    <rPh sb="95" eb="97">
      <t>ハンタイ</t>
    </rPh>
    <rPh sb="98" eb="99">
      <t>カタ</t>
    </rPh>
    <rPh sb="100" eb="102">
      <t>キョシュ</t>
    </rPh>
    <rPh sb="104" eb="105">
      <t>ネガ</t>
    </rPh>
    <rPh sb="113" eb="115">
      <t>キケン</t>
    </rPh>
    <rPh sb="116" eb="117">
      <t>カタ</t>
    </rPh>
    <rPh sb="118" eb="120">
      <t>キョシュ</t>
    </rPh>
    <rPh sb="122" eb="123">
      <t>ネガ</t>
    </rPh>
    <phoneticPr fontId="3"/>
  </si>
  <si>
    <t>この議案に対し、何かご質問はありませんでしょうか？
無ければ採決に移らせていただきます。
第２号議案　「６５周年事業に伴う基金切り崩し一般会計繰入（案）承認の件」
この議案に賛成の方は挙手をお願いいたします。　
反対の方は挙手をお願いいたします。
棄権の方は挙手をお願いいたします。</t>
    <rPh sb="2" eb="4">
      <t>ギアン</t>
    </rPh>
    <rPh sb="5" eb="6">
      <t>タイ</t>
    </rPh>
    <rPh sb="8" eb="9">
      <t>ナニ</t>
    </rPh>
    <rPh sb="11" eb="13">
      <t>シツモン</t>
    </rPh>
    <rPh sb="26" eb="27">
      <t>ナ</t>
    </rPh>
    <rPh sb="30" eb="32">
      <t>サイケツ</t>
    </rPh>
    <rPh sb="33" eb="34">
      <t>ウツ</t>
    </rPh>
    <rPh sb="84" eb="86">
      <t>ギアン</t>
    </rPh>
    <rPh sb="87" eb="89">
      <t>サンセイ</t>
    </rPh>
    <rPh sb="90" eb="91">
      <t>カタ</t>
    </rPh>
    <rPh sb="92" eb="94">
      <t>キョシュ</t>
    </rPh>
    <rPh sb="96" eb="97">
      <t>ネガ</t>
    </rPh>
    <phoneticPr fontId="3"/>
  </si>
  <si>
    <t>この議案に対し、何かご質問はありませんでしょうか？
無ければ採決に移らせていただきます。
第３号議案　「２０２１年度収支予算（案）承認の件」
この議案に賛成の方は挙手をお願いいたします。
反対の方は挙手をお願いいたします。
棄権の方は挙手をお願いいたします。</t>
    <rPh sb="2" eb="4">
      <t>ギアン</t>
    </rPh>
    <rPh sb="5" eb="6">
      <t>タイ</t>
    </rPh>
    <rPh sb="8" eb="9">
      <t>ナニ</t>
    </rPh>
    <rPh sb="11" eb="13">
      <t>シツモン</t>
    </rPh>
    <rPh sb="26" eb="27">
      <t>ナ</t>
    </rPh>
    <rPh sb="30" eb="32">
      <t>サイケツ</t>
    </rPh>
    <rPh sb="33" eb="34">
      <t>ウツ</t>
    </rPh>
    <rPh sb="73" eb="75">
      <t>ギアン</t>
    </rPh>
    <rPh sb="76" eb="78">
      <t>サンセイ</t>
    </rPh>
    <rPh sb="79" eb="80">
      <t>カタ</t>
    </rPh>
    <rPh sb="81" eb="83">
      <t>キョシュ</t>
    </rPh>
    <rPh sb="85" eb="86">
      <t>ネガ</t>
    </rPh>
    <phoneticPr fontId="3"/>
  </si>
  <si>
    <t>２０２1年 １月総会　シナリオ</t>
    <rPh sb="4" eb="5">
      <t>ネン</t>
    </rPh>
    <rPh sb="7" eb="8">
      <t>ガts</t>
    </rPh>
    <rPh sb="8" eb="10">
      <t>ソウカ</t>
    </rPh>
    <phoneticPr fontId="3"/>
  </si>
  <si>
    <t>これをもちまして、すべての内容を終了致します。皆様ありがとうございました。　
なお、この後１５分後より準備新年式典が予定されております。
ご出席の皆様は式典開始後、当館後部にてご参加をよろしくお願い致します。</t>
    <rPh sb="13" eb="15">
      <t>ナイヨ</t>
    </rPh>
    <rPh sb="16" eb="18">
      <t>シュウリョウ</t>
    </rPh>
    <rPh sb="18" eb="19">
      <t>イタ</t>
    </rPh>
    <rPh sb="23" eb="24">
      <t>ミナ</t>
    </rPh>
    <rPh sb="24" eb="25">
      <t>サマ</t>
    </rPh>
    <rPh sb="44" eb="45">
      <t>アト</t>
    </rPh>
    <rPh sb="47" eb="48">
      <t>フン</t>
    </rPh>
    <rPh sb="48" eb="49">
      <t>ゴ</t>
    </rPh>
    <rPh sb="51" eb="53">
      <t>ジュンビ</t>
    </rPh>
    <rPh sb="53" eb="55">
      <t>シンネン</t>
    </rPh>
    <rPh sb="55" eb="57">
      <t>シキテン</t>
    </rPh>
    <rPh sb="58" eb="60">
      <t>ヨテイ</t>
    </rPh>
    <rPh sb="70" eb="72">
      <t>シュッセキ</t>
    </rPh>
    <rPh sb="73" eb="75">
      <t>ミナサマ</t>
    </rPh>
    <rPh sb="76" eb="78">
      <t>シキテン</t>
    </rPh>
    <rPh sb="78" eb="81">
      <t>カイシゴ</t>
    </rPh>
    <rPh sb="82" eb="83">
      <t>トウ</t>
    </rPh>
    <rPh sb="83" eb="84">
      <t>カン</t>
    </rPh>
    <rPh sb="84" eb="86">
      <t>コウブ</t>
    </rPh>
    <rPh sb="89" eb="91">
      <t>サンカ</t>
    </rPh>
    <rPh sb="97" eb="98">
      <t>ネガ</t>
    </rPh>
    <rPh sb="99" eb="100">
      <t>イタ</t>
    </rPh>
    <phoneticPr fontId="3"/>
  </si>
  <si>
    <t>　鶴田、西村、田中、百島</t>
    <rPh sb="1" eb="3">
      <t>ツルタ</t>
    </rPh>
    <rPh sb="4" eb="6">
      <t>ニシムラ</t>
    </rPh>
    <rPh sb="7" eb="9">
      <t>タナカ</t>
    </rPh>
    <rPh sb="10" eb="12">
      <t>モモシマ</t>
    </rPh>
    <phoneticPr fontId="3"/>
  </si>
  <si>
    <t>JCICreed唱和      　　　　　　　　　　総務委員会   原岡　寿行　（はらおか　としゆき）君</t>
    <rPh sb="8" eb="10">
      <t>ショウワ</t>
    </rPh>
    <rPh sb="26" eb="28">
      <t>ソウム</t>
    </rPh>
    <rPh sb="28" eb="31">
      <t>イインカイ</t>
    </rPh>
    <rPh sb="34" eb="36">
      <t>ハラオカ</t>
    </rPh>
    <rPh sb="37" eb="38">
      <t>トシ</t>
    </rPh>
    <rPh sb="38" eb="39">
      <t>ユキ</t>
    </rPh>
    <rPh sb="51" eb="52">
      <t>クン</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</si>
</sst>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name val="ＭＳ Ｐゴシック"/>
      <family val="3"/>
      <charset val="128"/>
    </font>
    <font>
      <sz val="11"/>
      <name val="ＭＳ Ｐゴシック"/>
      <family val="3"/>
      <charset val="128"/>
    </font>
    <font>
      <b/>
      <u/>
      <sz val="14"/>
      <name val="ＭＳ Ｐゴシック"/>
      <family val="3"/>
      <charset val="128"/>
    </font>
    <font>
      <sz val="6"/>
      <name val="ＭＳ Ｐゴシック"/>
      <family val="3"/>
      <charset val="128"/>
    </font>
    <font>
      <sz val="10"/>
      <name val="ＭＳ Ｐゴシック"/>
      <family val="3"/>
      <charset val="128"/>
    </font>
    <font>
      <b/>
      <u/>
      <sz val="12"/>
      <name val="ＭＳ Ｐゴシック"/>
      <family val="3"/>
      <charset val="128"/>
    </font>
    <font>
      <b/>
      <sz val="10"/>
      <name val="ＭＳ Ｐゴシック"/>
      <family val="3"/>
      <charset val="128"/>
    </font>
    <font>
      <b/>
      <sz val="11"/>
      <name val="ＭＳ Ｐゴシック"/>
      <family val="3"/>
      <charset val="128"/>
    </font>
    <font>
      <sz val="10"/>
      <color theme="0"/>
      <name val="ＭＳ Ｐゴシック"/>
      <family val="3"/>
      <charset val="128"/>
    </font>
    <font>
      <sz val="10"/>
      <color rgb="FFFF0000"/>
      <name val="ＭＳ Ｐゴシック"/>
      <family val="3"/>
      <charset val="128"/>
    </font>
    <font>
      <sz val="10"/>
      <color indexed="10"/>
      <name val="ＭＳ Ｐゴシック"/>
      <family val="3"/>
      <charset val="128"/>
    </font>
    <font>
      <sz val="9"/>
      <name val="ＭＳ Ｐゴシック"/>
      <family val="3"/>
      <charset val="128"/>
    </font>
    <font>
      <b/>
      <i/>
      <sz val="10"/>
      <name val="ＭＳ Ｐゴシック"/>
      <family val="3"/>
      <charset val="128"/>
    </font>
    <font>
      <sz val="10"/>
      <color rgb="FF0000CC"/>
      <name val="ＭＳ Ｐゴシック"/>
      <family val="3"/>
      <charset val="128"/>
    </font>
    <font>
      <strike/>
      <sz val="10"/>
      <name val="ＭＳ Ｐゴシック"/>
      <family val="3"/>
      <charset val="128"/>
    </font>
    <font>
      <sz val="9"/>
      <color theme="0"/>
      <name val="ＭＳ Ｐゴシック"/>
      <family val="3"/>
      <charset val="128"/>
    </font>
    <font>
      <strike/>
      <sz val="10"/>
      <color indexed="10"/>
      <name val="ＭＳ Ｐゴシック"/>
      <family val="3"/>
      <charset val="128"/>
    </font>
    <font>
      <b/>
      <u/>
      <sz val="18"/>
      <name val="ＭＳ Ｐゴシック"/>
      <family val="3"/>
      <charset val="128"/>
    </font>
  </fonts>
  <fills count="6">
    <fill>
      <patternFill patternType="none"/>
    </fill>
    <fill>
      <patternFill patternType="gray125"/>
    </fill>
    <fill>
      <patternFill patternType="solid">
        <fgColor theme="6" tint="0.79998168889431442"/>
        <bgColor indexed="64"/>
      </patternFill>
    </fill>
    <fill>
      <patternFill patternType="solid">
        <fgColor indexed="9"/>
        <bgColor indexed="64"/>
      </patternFill>
    </fill>
    <fill>
      <patternFill patternType="solid">
        <fgColor theme="1"/>
        <bgColor indexed="64"/>
      </patternFill>
    </fill>
    <fill>
      <patternFill patternType="solid">
        <fgColor theme="4"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72">
    <xf numFmtId="0" fontId="0" fillId="0" borderId="0" xfId="0"/>
    <xf numFmtId="0" fontId="4" fillId="0" borderId="0" xfId="0" applyFont="1" applyAlignment="1">
      <alignment vertical="center"/>
    </xf>
    <xf numFmtId="0" fontId="4" fillId="0" borderId="0" xfId="0" applyFont="1" applyAlignment="1">
      <alignment horizontal="center" vertical="center"/>
    </xf>
    <xf numFmtId="14" fontId="4" fillId="0" borderId="0" xfId="0" applyNumberFormat="1" applyFont="1" applyAlignment="1">
      <alignment vertical="center"/>
    </xf>
    <xf numFmtId="0" fontId="4" fillId="0" borderId="0" xfId="0" applyFont="1" applyAlignment="1">
      <alignment horizontal="left" vertical="center"/>
    </xf>
    <xf numFmtId="20" fontId="4" fillId="0" borderId="0" xfId="0" applyNumberFormat="1" applyFont="1" applyAlignment="1">
      <alignment horizontal="center" vertical="center"/>
    </xf>
    <xf numFmtId="0" fontId="4" fillId="0" borderId="0" xfId="0" applyFont="1" applyAlignment="1">
      <alignment horizontal="left" vertical="center" indent="1"/>
    </xf>
    <xf numFmtId="0" fontId="6" fillId="0" borderId="0" xfId="0" applyFont="1" applyAlignment="1">
      <alignment horizontal="left" vertical="center"/>
    </xf>
    <xf numFmtId="0" fontId="4" fillId="0" borderId="0" xfId="0" applyFont="1" applyAlignment="1">
      <alignment horizontal="right" vertical="center"/>
    </xf>
    <xf numFmtId="0" fontId="4" fillId="0" borderId="1" xfId="0" applyFont="1" applyBorder="1" applyAlignment="1">
      <alignment vertical="center"/>
    </xf>
    <xf numFmtId="0" fontId="0" fillId="0" borderId="0" xfId="1" applyFont="1" applyAlignment="1">
      <alignment vertical="center" shrinkToFit="1"/>
    </xf>
    <xf numFmtId="0" fontId="0" fillId="0" borderId="0" xfId="1" applyFont="1" applyAlignment="1">
      <alignment horizontal="center" vertical="center" shrinkToFit="1"/>
    </xf>
    <xf numFmtId="0" fontId="4" fillId="0" borderId="1" xfId="0" applyFont="1" applyBorder="1" applyAlignment="1">
      <alignment vertical="center" shrinkToFit="1"/>
    </xf>
    <xf numFmtId="0" fontId="0" fillId="0" borderId="0" xfId="0" applyFont="1" applyAlignment="1">
      <alignment vertical="center"/>
    </xf>
    <xf numFmtId="0" fontId="6" fillId="0" borderId="0" xfId="0" applyFont="1" applyAlignment="1">
      <alignment horizontal="left" vertical="center"/>
    </xf>
    <xf numFmtId="0" fontId="4" fillId="0" borderId="1" xfId="0" applyFont="1" applyBorder="1" applyAlignment="1">
      <alignment vertical="center"/>
    </xf>
    <xf numFmtId="0" fontId="4" fillId="0" borderId="2" xfId="0" applyFont="1" applyBorder="1" applyAlignment="1">
      <alignment vertical="center"/>
    </xf>
    <xf numFmtId="0" fontId="0" fillId="0" borderId="3" xfId="0" applyFont="1" applyBorder="1" applyAlignment="1">
      <alignment vertical="center"/>
    </xf>
    <xf numFmtId="0" fontId="0" fillId="0" borderId="4" xfId="0" applyFont="1" applyBorder="1" applyAlignment="1">
      <alignment vertical="center"/>
    </xf>
    <xf numFmtId="0" fontId="4" fillId="0" borderId="5" xfId="0" applyFont="1" applyBorder="1" applyAlignment="1">
      <alignment vertical="center"/>
    </xf>
    <xf numFmtId="0" fontId="6" fillId="5" borderId="1" xfId="0" applyFont="1" applyFill="1" applyBorder="1" applyAlignment="1">
      <alignment vertical="center"/>
    </xf>
    <xf numFmtId="0" fontId="4" fillId="0" borderId="0" xfId="0" applyFont="1" applyBorder="1" applyAlignment="1">
      <alignment vertical="center"/>
    </xf>
    <xf numFmtId="0" fontId="4" fillId="5" borderId="0" xfId="0" applyFont="1" applyFill="1" applyBorder="1" applyAlignment="1">
      <alignment horizontal="center" vertical="center" wrapText="1" shrinkToFit="1"/>
    </xf>
    <xf numFmtId="0" fontId="4" fillId="5" borderId="1" xfId="0" applyFont="1" applyFill="1" applyBorder="1" applyAlignment="1">
      <alignment horizontal="center" vertical="center" wrapText="1" shrinkToFit="1"/>
    </xf>
    <xf numFmtId="20" fontId="4" fillId="0" borderId="1" xfId="0" applyNumberFormat="1" applyFont="1" applyBorder="1" applyAlignment="1">
      <alignment horizontal="right" vertical="center" wrapText="1" shrinkToFit="1"/>
    </xf>
    <xf numFmtId="20" fontId="8" fillId="0" borderId="1" xfId="0" applyNumberFormat="1" applyFont="1" applyBorder="1" applyAlignment="1">
      <alignment vertical="center" wrapText="1"/>
    </xf>
    <xf numFmtId="0" fontId="4" fillId="0" borderId="1" xfId="0" applyFont="1" applyBorder="1" applyAlignment="1">
      <alignment horizontal="center" vertical="center" wrapText="1" shrinkToFit="1"/>
    </xf>
    <xf numFmtId="0" fontId="4" fillId="2" borderId="1" xfId="0" applyFont="1" applyFill="1" applyBorder="1" applyAlignment="1">
      <alignment vertical="center" wrapText="1" shrinkToFit="1"/>
    </xf>
    <xf numFmtId="0" fontId="10" fillId="2" borderId="1" xfId="0" applyFont="1" applyFill="1" applyBorder="1" applyAlignment="1">
      <alignment horizontal="left" vertical="center" wrapText="1" shrinkToFit="1"/>
    </xf>
    <xf numFmtId="0" fontId="4" fillId="0" borderId="1" xfId="0" applyFont="1" applyBorder="1" applyAlignment="1">
      <alignment horizontal="left" vertical="center" wrapText="1" shrinkToFit="1"/>
    </xf>
    <xf numFmtId="20" fontId="4" fillId="0" borderId="1" xfId="0" applyNumberFormat="1" applyFont="1" applyBorder="1" applyAlignment="1">
      <alignment horizontal="right"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10" fillId="0" borderId="1" xfId="0" applyFont="1" applyBorder="1" applyAlignment="1">
      <alignment vertical="center" wrapText="1"/>
    </xf>
    <xf numFmtId="0" fontId="4" fillId="0" borderId="1" xfId="0" applyFont="1" applyBorder="1" applyAlignment="1">
      <alignment horizontal="right" vertical="center" wrapText="1"/>
    </xf>
    <xf numFmtId="0" fontId="4" fillId="2" borderId="1" xfId="0" applyFont="1" applyFill="1" applyBorder="1" applyAlignment="1">
      <alignment vertical="center" wrapText="1"/>
    </xf>
    <xf numFmtId="20" fontId="4" fillId="0" borderId="1" xfId="0" applyNumberFormat="1" applyFont="1" applyBorder="1" applyAlignment="1">
      <alignment vertical="center" wrapText="1"/>
    </xf>
    <xf numFmtId="0" fontId="4" fillId="0" borderId="1" xfId="0" applyFont="1" applyBorder="1" applyAlignment="1">
      <alignment horizontal="left" vertical="top" wrapText="1"/>
    </xf>
    <xf numFmtId="0" fontId="11" fillId="0" borderId="1" xfId="0" applyFont="1" applyBorder="1" applyAlignment="1">
      <alignment horizontal="left" vertical="top" wrapText="1"/>
    </xf>
    <xf numFmtId="0" fontId="11" fillId="3" borderId="1" xfId="0" applyFont="1" applyFill="1" applyBorder="1" applyAlignment="1">
      <alignment vertical="center" wrapText="1"/>
    </xf>
    <xf numFmtId="0" fontId="10" fillId="2" borderId="1" xfId="0" applyFont="1" applyFill="1" applyBorder="1" applyAlignment="1">
      <alignment horizontal="left" vertical="center" wrapText="1"/>
    </xf>
    <xf numFmtId="0" fontId="10" fillId="0" borderId="1" xfId="0" applyFont="1" applyBorder="1" applyAlignment="1">
      <alignment vertical="center" wrapText="1" shrinkToFit="1"/>
    </xf>
    <xf numFmtId="0" fontId="15" fillId="4" borderId="1" xfId="0" applyFont="1" applyFill="1" applyBorder="1" applyAlignment="1">
      <alignment horizontal="center" vertical="center" wrapText="1"/>
    </xf>
    <xf numFmtId="0" fontId="12" fillId="2" borderId="1" xfId="0" applyFont="1" applyFill="1" applyBorder="1" applyAlignment="1">
      <alignment vertical="center" wrapText="1"/>
    </xf>
    <xf numFmtId="0" fontId="6" fillId="0" borderId="1" xfId="0" applyFont="1" applyBorder="1" applyAlignment="1">
      <alignment vertical="center" wrapText="1"/>
    </xf>
    <xf numFmtId="0" fontId="9" fillId="0" borderId="1" xfId="0" applyFont="1" applyBorder="1" applyAlignment="1">
      <alignment vertical="center" wrapText="1"/>
    </xf>
    <xf numFmtId="0" fontId="4" fillId="3" borderId="1" xfId="0" applyFont="1" applyFill="1" applyBorder="1" applyAlignment="1">
      <alignment vertical="center" wrapText="1"/>
    </xf>
    <xf numFmtId="0" fontId="14" fillId="2" borderId="1" xfId="0" applyFont="1" applyFill="1" applyBorder="1" applyAlignment="1">
      <alignment vertical="center" wrapText="1"/>
    </xf>
    <xf numFmtId="0" fontId="13" fillId="2" borderId="1" xfId="0" applyFont="1" applyFill="1" applyBorder="1" applyAlignment="1">
      <alignment vertical="center" wrapText="1"/>
    </xf>
    <xf numFmtId="0" fontId="16" fillId="0" borderId="1" xfId="0" applyFont="1" applyBorder="1" applyAlignment="1">
      <alignment vertical="center" wrapText="1"/>
    </xf>
    <xf numFmtId="20" fontId="4" fillId="0" borderId="1" xfId="0" applyNumberFormat="1" applyFont="1" applyBorder="1" applyAlignment="1">
      <alignment horizontal="right" vertical="center" wrapText="1"/>
    </xf>
    <xf numFmtId="0" fontId="4" fillId="0" borderId="1" xfId="0" applyFont="1" applyBorder="1" applyAlignment="1">
      <alignment horizontal="right" vertical="center" wrapText="1"/>
    </xf>
    <xf numFmtId="0" fontId="4" fillId="0" borderId="1" xfId="0" applyFont="1" applyBorder="1" applyAlignment="1">
      <alignment vertical="center"/>
    </xf>
    <xf numFmtId="0" fontId="4" fillId="0" borderId="1" xfId="0" applyFont="1" applyBorder="1" applyAlignment="1">
      <alignment horizontal="center" vertical="center" wrapText="1"/>
    </xf>
    <xf numFmtId="20" fontId="4" fillId="0" borderId="1" xfId="0" applyNumberFormat="1" applyFont="1" applyBorder="1" applyAlignment="1">
      <alignment horizontal="right" vertical="center" wrapText="1"/>
    </xf>
    <xf numFmtId="0" fontId="4" fillId="0" borderId="1" xfId="0" applyFont="1" applyBorder="1" applyAlignment="1">
      <alignment horizontal="right" vertical="center" wrapText="1"/>
    </xf>
    <xf numFmtId="0" fontId="0" fillId="0" borderId="1" xfId="0" applyFont="1" applyBorder="1" applyAlignment="1">
      <alignment horizontal="right" vertical="center" wrapText="1"/>
    </xf>
    <xf numFmtId="0" fontId="4" fillId="0" borderId="1" xfId="0" applyFont="1" applyBorder="1" applyAlignment="1">
      <alignment horizontal="left" vertical="center" wrapText="1"/>
    </xf>
    <xf numFmtId="0" fontId="2" fillId="0" borderId="0" xfId="0" applyFont="1" applyAlignment="1">
      <alignment horizontal="center" vertical="center" wrapText="1" shrinkToFit="1"/>
    </xf>
    <xf numFmtId="0" fontId="5" fillId="0" borderId="0" xfId="0" applyFont="1" applyAlignment="1">
      <alignment horizontal="left" vertical="center" wrapText="1" shrinkToFit="1"/>
    </xf>
    <xf numFmtId="0" fontId="6" fillId="0" borderId="0" xfId="0" applyFont="1" applyAlignment="1">
      <alignment horizontal="left" vertical="center"/>
    </xf>
    <xf numFmtId="0" fontId="6" fillId="5" borderId="1" xfId="0" applyFont="1" applyFill="1" applyBorder="1" applyAlignment="1">
      <alignment vertical="center"/>
    </xf>
    <xf numFmtId="0" fontId="7" fillId="5" borderId="1" xfId="0" applyFont="1" applyFill="1" applyBorder="1" applyAlignment="1">
      <alignment vertical="center"/>
    </xf>
    <xf numFmtId="0" fontId="4" fillId="0" borderId="5" xfId="0" applyFont="1" applyBorder="1" applyAlignment="1">
      <alignment vertical="center"/>
    </xf>
    <xf numFmtId="0" fontId="0" fillId="0" borderId="5" xfId="0" applyFont="1" applyBorder="1" applyAlignment="1">
      <alignment vertical="center"/>
    </xf>
    <xf numFmtId="0" fontId="4" fillId="0" borderId="1" xfId="0" applyFont="1" applyBorder="1" applyAlignment="1">
      <alignment vertical="center"/>
    </xf>
    <xf numFmtId="0" fontId="0" fillId="0" borderId="1" xfId="0" applyFont="1" applyBorder="1" applyAlignment="1">
      <alignment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xf>
    <xf numFmtId="0" fontId="0" fillId="0" borderId="3" xfId="0" applyFont="1" applyBorder="1" applyAlignment="1">
      <alignment horizontal="center" vertical="center"/>
    </xf>
    <xf numFmtId="0" fontId="17" fillId="0" borderId="0" xfId="0" applyFont="1" applyAlignment="1">
      <alignment horizontal="center" vertical="center" wrapText="1" shrinkToFit="1"/>
    </xf>
  </cellXfs>
  <cellStyles count="2">
    <cellStyle name="標準" xfId="0" builtinId="0"/>
    <cellStyle name="標準 2" xfId="1" xr:uid="{00000000-0005-0000-0000-000001000000}"/>
  </cellStyles>
  <dxfs count="0"/>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6"/>
  <sheetViews>
    <sheetView tabSelected="1" view="pageBreakPreview" zoomScaleNormal="97" zoomScaleSheetLayoutView="100" workbookViewId="0">
      <selection sqref="A1:G1"/>
    </sheetView>
  </sheetViews>
  <sheetFormatPr defaultColWidth="13" defaultRowHeight="12" x14ac:dyDescent="0.15"/>
  <cols>
    <col min="1" max="1" width="5.625" style="1" customWidth="1"/>
    <col min="2" max="2" width="4.625" style="1" bestFit="1" customWidth="1"/>
    <col min="3" max="3" width="20" style="1" bestFit="1" customWidth="1"/>
    <col min="4" max="4" width="8.375" style="2" customWidth="1"/>
    <col min="5" max="5" width="65.125" style="1" customWidth="1"/>
    <col min="6" max="7" width="48.625" style="1" customWidth="1"/>
    <col min="8" max="16384" width="13" style="1"/>
  </cols>
  <sheetData>
    <row r="1" spans="1:7" ht="21.75" customHeight="1" x14ac:dyDescent="0.15">
      <c r="A1" s="71" t="s">
        <v>233</v>
      </c>
      <c r="B1" s="71"/>
      <c r="C1" s="71"/>
      <c r="D1" s="71"/>
      <c r="E1" s="71"/>
      <c r="F1" s="71"/>
      <c r="G1" s="71"/>
    </row>
    <row r="2" spans="1:7" x14ac:dyDescent="0.15">
      <c r="B2" s="2"/>
      <c r="G2" s="3">
        <f ca="1">NOW()</f>
        <v>44211.448724421294</v>
      </c>
    </row>
    <row r="3" spans="1:7" ht="21.75" customHeight="1" x14ac:dyDescent="0.15">
      <c r="A3" s="60" t="s">
        <v>213</v>
      </c>
      <c r="B3" s="60"/>
      <c r="C3" s="60"/>
      <c r="D3" s="60"/>
      <c r="E3" s="60"/>
      <c r="F3" s="60"/>
      <c r="G3" s="60"/>
    </row>
    <row r="4" spans="1:7" ht="17.25" customHeight="1" x14ac:dyDescent="0.15">
      <c r="B4" s="2"/>
    </row>
    <row r="5" spans="1:7" ht="17.25" customHeight="1" x14ac:dyDescent="0.15">
      <c r="B5" s="2" t="s">
        <v>0</v>
      </c>
      <c r="C5" s="4" t="s">
        <v>1</v>
      </c>
      <c r="D5" s="5">
        <v>0.625</v>
      </c>
      <c r="E5" s="1" t="s">
        <v>216</v>
      </c>
      <c r="F5" s="13"/>
      <c r="G5" s="1" t="s">
        <v>104</v>
      </c>
    </row>
    <row r="6" spans="1:7" ht="17.25" customHeight="1" x14ac:dyDescent="0.15">
      <c r="B6" s="2"/>
      <c r="C6" s="1" t="s">
        <v>146</v>
      </c>
      <c r="D6" s="5">
        <v>0.66666666666666663</v>
      </c>
      <c r="E6" s="1" t="s">
        <v>219</v>
      </c>
      <c r="G6" s="1" t="s">
        <v>235</v>
      </c>
    </row>
    <row r="7" spans="1:7" ht="17.25" customHeight="1" x14ac:dyDescent="0.15">
      <c r="B7" s="2"/>
      <c r="D7" s="5">
        <v>0.6875</v>
      </c>
      <c r="E7" s="1" t="s">
        <v>217</v>
      </c>
    </row>
    <row r="8" spans="1:7" ht="17.25" customHeight="1" x14ac:dyDescent="0.15">
      <c r="B8" s="2"/>
      <c r="D8" s="2" t="s">
        <v>2</v>
      </c>
      <c r="E8" s="1" t="s">
        <v>105</v>
      </c>
    </row>
    <row r="9" spans="1:7" ht="17.25" customHeight="1" x14ac:dyDescent="0.15">
      <c r="B9" s="2"/>
    </row>
    <row r="10" spans="1:7" ht="17.25" customHeight="1" x14ac:dyDescent="0.15">
      <c r="B10" s="2" t="s">
        <v>3</v>
      </c>
      <c r="C10" s="4" t="s">
        <v>4</v>
      </c>
      <c r="E10" s="1" t="s">
        <v>183</v>
      </c>
    </row>
    <row r="11" spans="1:7" ht="17.25" customHeight="1" x14ac:dyDescent="0.15">
      <c r="B11" s="2"/>
      <c r="C11" s="6" t="s">
        <v>5</v>
      </c>
      <c r="E11" s="1" t="s">
        <v>182</v>
      </c>
    </row>
    <row r="12" spans="1:7" ht="17.25" customHeight="1" x14ac:dyDescent="0.15">
      <c r="B12" s="2"/>
      <c r="C12" s="6" t="s">
        <v>6</v>
      </c>
      <c r="E12" s="1" t="s">
        <v>119</v>
      </c>
      <c r="F12" s="1" t="s">
        <v>180</v>
      </c>
    </row>
    <row r="13" spans="1:7" ht="17.25" customHeight="1" x14ac:dyDescent="0.15">
      <c r="B13" s="2"/>
      <c r="C13" s="6" t="s">
        <v>106</v>
      </c>
      <c r="E13" s="1" t="s">
        <v>220</v>
      </c>
    </row>
    <row r="14" spans="1:7" ht="17.25" customHeight="1" x14ac:dyDescent="0.15">
      <c r="B14" s="2"/>
      <c r="C14" s="6" t="s">
        <v>7</v>
      </c>
      <c r="E14" s="1" t="s">
        <v>221</v>
      </c>
    </row>
    <row r="15" spans="1:7" ht="17.25" customHeight="1" x14ac:dyDescent="0.15">
      <c r="B15" s="2"/>
      <c r="C15" s="6" t="s">
        <v>8</v>
      </c>
      <c r="E15" s="1" t="s">
        <v>120</v>
      </c>
    </row>
    <row r="16" spans="1:7" ht="17.25" customHeight="1" x14ac:dyDescent="0.15">
      <c r="B16" s="2"/>
      <c r="C16" s="2" t="s">
        <v>9</v>
      </c>
    </row>
    <row r="17" spans="1:7" ht="17.25" customHeight="1" x14ac:dyDescent="0.15">
      <c r="B17" s="2" t="s">
        <v>3</v>
      </c>
      <c r="C17" s="4" t="s">
        <v>10</v>
      </c>
    </row>
    <row r="18" spans="1:7" ht="17.25" customHeight="1" x14ac:dyDescent="0.15">
      <c r="B18" s="2"/>
      <c r="C18" s="6" t="s">
        <v>11</v>
      </c>
      <c r="E18" s="1" t="s">
        <v>150</v>
      </c>
    </row>
    <row r="19" spans="1:7" ht="17.25" customHeight="1" x14ac:dyDescent="0.15">
      <c r="B19" s="2"/>
      <c r="C19" s="6" t="s">
        <v>12</v>
      </c>
      <c r="E19" s="1" t="s">
        <v>149</v>
      </c>
      <c r="F19" s="1" t="s">
        <v>13</v>
      </c>
    </row>
    <row r="20" spans="1:7" ht="17.25" customHeight="1" x14ac:dyDescent="0.15">
      <c r="B20" s="2" t="s">
        <v>3</v>
      </c>
      <c r="C20" s="4" t="s">
        <v>14</v>
      </c>
    </row>
    <row r="21" spans="1:7" ht="17.25" customHeight="1" x14ac:dyDescent="0.15">
      <c r="B21" s="2"/>
      <c r="C21" s="6" t="s">
        <v>15</v>
      </c>
      <c r="E21" s="1" t="s">
        <v>176</v>
      </c>
      <c r="F21" s="1" t="s">
        <v>177</v>
      </c>
    </row>
    <row r="22" spans="1:7" ht="17.25" customHeight="1" x14ac:dyDescent="0.15">
      <c r="B22" s="2"/>
      <c r="C22" s="6" t="s">
        <v>16</v>
      </c>
      <c r="E22" s="1" t="s">
        <v>175</v>
      </c>
      <c r="F22" s="1" t="s">
        <v>178</v>
      </c>
    </row>
    <row r="23" spans="1:7" ht="17.25" customHeight="1" x14ac:dyDescent="0.15">
      <c r="B23" s="2"/>
      <c r="C23" s="6" t="s">
        <v>168</v>
      </c>
    </row>
    <row r="24" spans="1:7" ht="17.25" customHeight="1" x14ac:dyDescent="0.15">
      <c r="B24" s="2"/>
      <c r="C24" s="6" t="s">
        <v>169</v>
      </c>
      <c r="E24" s="1" t="s">
        <v>170</v>
      </c>
    </row>
    <row r="25" spans="1:7" ht="17.25" customHeight="1" x14ac:dyDescent="0.15">
      <c r="B25" s="2"/>
      <c r="C25" s="6" t="s">
        <v>17</v>
      </c>
      <c r="E25" s="1" t="s">
        <v>174</v>
      </c>
      <c r="F25" s="1" t="s">
        <v>107</v>
      </c>
    </row>
    <row r="26" spans="1:7" ht="17.25" customHeight="1" x14ac:dyDescent="0.15">
      <c r="B26" s="2"/>
      <c r="C26" s="6" t="s">
        <v>18</v>
      </c>
      <c r="E26" s="1" t="s">
        <v>179</v>
      </c>
    </row>
    <row r="27" spans="1:7" ht="17.25" customHeight="1" x14ac:dyDescent="0.15"/>
    <row r="28" spans="1:7" ht="17.25" customHeight="1" x14ac:dyDescent="0.15">
      <c r="A28" s="2"/>
      <c r="B28" s="2" t="s">
        <v>19</v>
      </c>
      <c r="C28" s="61" t="s">
        <v>20</v>
      </c>
      <c r="D28" s="61"/>
      <c r="E28" s="61"/>
      <c r="F28" s="7"/>
    </row>
    <row r="29" spans="1:7" ht="17.25" customHeight="1" x14ac:dyDescent="0.15">
      <c r="A29" s="8"/>
      <c r="B29" s="8"/>
      <c r="C29" s="62" t="s">
        <v>21</v>
      </c>
      <c r="D29" s="63"/>
      <c r="E29" s="20" t="s">
        <v>22</v>
      </c>
      <c r="F29" s="20" t="s">
        <v>23</v>
      </c>
      <c r="G29" s="20" t="s">
        <v>24</v>
      </c>
    </row>
    <row r="30" spans="1:7" ht="17.25" customHeight="1" x14ac:dyDescent="0.15">
      <c r="C30" s="64" t="s">
        <v>25</v>
      </c>
      <c r="D30" s="65"/>
      <c r="E30" s="19" t="s">
        <v>26</v>
      </c>
      <c r="F30" s="19" t="s">
        <v>110</v>
      </c>
      <c r="G30" s="19" t="s">
        <v>27</v>
      </c>
    </row>
    <row r="31" spans="1:7" ht="17.25" customHeight="1" x14ac:dyDescent="0.15">
      <c r="C31" s="66" t="s">
        <v>28</v>
      </c>
      <c r="D31" s="67"/>
      <c r="E31" s="12" t="s">
        <v>109</v>
      </c>
      <c r="F31" s="9" t="s">
        <v>111</v>
      </c>
      <c r="G31" s="9" t="s">
        <v>29</v>
      </c>
    </row>
    <row r="32" spans="1:7" ht="17.25" customHeight="1" x14ac:dyDescent="0.15">
      <c r="C32" s="66" t="s">
        <v>30</v>
      </c>
      <c r="D32" s="67"/>
      <c r="E32" s="12" t="s">
        <v>108</v>
      </c>
      <c r="F32" s="9" t="s">
        <v>32</v>
      </c>
      <c r="G32" s="9" t="s">
        <v>31</v>
      </c>
    </row>
    <row r="33" spans="1:9" ht="17.25" customHeight="1" x14ac:dyDescent="0.15">
      <c r="C33" s="66"/>
      <c r="D33" s="67"/>
      <c r="E33" s="9" t="s">
        <v>222</v>
      </c>
      <c r="F33" s="9" t="s">
        <v>35</v>
      </c>
      <c r="G33" s="9" t="s">
        <v>33</v>
      </c>
    </row>
    <row r="34" spans="1:9" ht="17.25" customHeight="1" x14ac:dyDescent="0.15">
      <c r="C34" s="66"/>
      <c r="D34" s="67"/>
      <c r="E34" s="9" t="s">
        <v>34</v>
      </c>
      <c r="F34" s="9" t="s">
        <v>37</v>
      </c>
      <c r="G34" s="12" t="s">
        <v>121</v>
      </c>
    </row>
    <row r="35" spans="1:9" ht="17.25" customHeight="1" x14ac:dyDescent="0.15">
      <c r="C35" s="66"/>
      <c r="D35" s="67"/>
      <c r="E35" s="9" t="s">
        <v>36</v>
      </c>
      <c r="F35" s="9" t="s">
        <v>38</v>
      </c>
      <c r="G35" s="12" t="s">
        <v>223</v>
      </c>
    </row>
    <row r="36" spans="1:9" ht="17.25" customHeight="1" x14ac:dyDescent="0.15">
      <c r="C36" s="69"/>
      <c r="D36" s="70"/>
      <c r="E36" s="9" t="s">
        <v>117</v>
      </c>
      <c r="F36" s="53" t="s">
        <v>218</v>
      </c>
      <c r="G36" s="9"/>
    </row>
    <row r="37" spans="1:9" ht="18.75" customHeight="1" x14ac:dyDescent="0.15">
      <c r="B37" s="2"/>
      <c r="H37" s="21"/>
    </row>
    <row r="38" spans="1:9" ht="23.25" customHeight="1" x14ac:dyDescent="0.15">
      <c r="A38" s="23" t="s">
        <v>39</v>
      </c>
      <c r="B38" s="23" t="s">
        <v>40</v>
      </c>
      <c r="C38" s="23" t="s">
        <v>41</v>
      </c>
      <c r="D38" s="23" t="s">
        <v>192</v>
      </c>
      <c r="E38" s="23" t="s">
        <v>42</v>
      </c>
      <c r="F38" s="23" t="s">
        <v>43</v>
      </c>
      <c r="G38" s="23" t="s">
        <v>44</v>
      </c>
      <c r="H38" s="22"/>
      <c r="I38" s="21"/>
    </row>
    <row r="39" spans="1:9" ht="17.25" customHeight="1" x14ac:dyDescent="0.15">
      <c r="A39" s="24">
        <f>A40-B39</f>
        <v>0.70138888888888884</v>
      </c>
      <c r="B39" s="25">
        <v>2.0833333333333332E-2</v>
      </c>
      <c r="C39" s="26"/>
      <c r="D39" s="26"/>
      <c r="E39" s="27"/>
      <c r="F39" s="27" t="s">
        <v>45</v>
      </c>
      <c r="G39" s="26"/>
      <c r="H39" s="21"/>
    </row>
    <row r="40" spans="1:9" x14ac:dyDescent="0.15">
      <c r="A40" s="24">
        <f>A41-B40</f>
        <v>0.72222222222222221</v>
      </c>
      <c r="B40" s="25">
        <v>3.472222222222222E-3</v>
      </c>
      <c r="C40" s="26"/>
      <c r="D40" s="26"/>
      <c r="E40" s="28"/>
      <c r="F40" s="28" t="s">
        <v>152</v>
      </c>
      <c r="G40" s="29"/>
    </row>
    <row r="41" spans="1:9" ht="24.75" customHeight="1" x14ac:dyDescent="0.15">
      <c r="A41" s="30">
        <f>A46-B41</f>
        <v>0.72569444444444442</v>
      </c>
      <c r="B41" s="25">
        <v>3.472222222222222E-3</v>
      </c>
      <c r="C41" s="31" t="s">
        <v>194</v>
      </c>
      <c r="D41" s="32" t="s">
        <v>193</v>
      </c>
      <c r="E41" s="33" t="s">
        <v>46</v>
      </c>
      <c r="F41" s="33"/>
      <c r="G41" s="34" t="s">
        <v>112</v>
      </c>
    </row>
    <row r="42" spans="1:9" ht="24.75" customHeight="1" x14ac:dyDescent="0.15">
      <c r="A42" s="35"/>
      <c r="B42" s="33"/>
      <c r="C42" s="33"/>
      <c r="D42" s="32" t="s">
        <v>193</v>
      </c>
      <c r="E42" s="33" t="s">
        <v>47</v>
      </c>
      <c r="F42" s="33"/>
      <c r="G42" s="33" t="s">
        <v>48</v>
      </c>
    </row>
    <row r="43" spans="1:9" ht="24" x14ac:dyDescent="0.15">
      <c r="A43" s="35"/>
      <c r="B43" s="33"/>
      <c r="C43" s="33"/>
      <c r="D43" s="32" t="s">
        <v>193</v>
      </c>
      <c r="E43" s="33" t="s">
        <v>49</v>
      </c>
      <c r="F43" s="33"/>
      <c r="G43" s="33"/>
    </row>
    <row r="44" spans="1:9" ht="24" x14ac:dyDescent="0.15">
      <c r="A44" s="35"/>
      <c r="B44" s="33"/>
      <c r="C44" s="33"/>
      <c r="D44" s="32"/>
      <c r="E44" s="36"/>
      <c r="F44" s="36" t="s">
        <v>153</v>
      </c>
      <c r="G44" s="33" t="s">
        <v>154</v>
      </c>
    </row>
    <row r="45" spans="1:9" ht="12.75" customHeight="1" x14ac:dyDescent="0.15">
      <c r="A45" s="35"/>
      <c r="B45" s="37"/>
      <c r="C45" s="33"/>
      <c r="D45" s="32"/>
      <c r="E45" s="36"/>
      <c r="F45" s="36"/>
      <c r="G45" s="33"/>
    </row>
    <row r="46" spans="1:9" ht="48" x14ac:dyDescent="0.15">
      <c r="A46" s="30">
        <v>0.72916666666666663</v>
      </c>
      <c r="B46" s="37">
        <v>6.9444444444444447E-4</v>
      </c>
      <c r="C46" s="33" t="s">
        <v>163</v>
      </c>
      <c r="D46" s="32" t="s">
        <v>193</v>
      </c>
      <c r="E46" s="38" t="s">
        <v>144</v>
      </c>
      <c r="F46" s="39"/>
      <c r="G46" s="36" t="s">
        <v>155</v>
      </c>
    </row>
    <row r="47" spans="1:9" ht="17.25" customHeight="1" x14ac:dyDescent="0.15">
      <c r="A47" s="35"/>
      <c r="B47" s="33"/>
      <c r="C47" s="33"/>
      <c r="D47" s="32"/>
      <c r="E47" s="36"/>
      <c r="F47" s="36"/>
      <c r="G47" s="33"/>
    </row>
    <row r="48" spans="1:9" ht="24" x14ac:dyDescent="0.15">
      <c r="A48" s="35"/>
      <c r="B48" s="33"/>
      <c r="C48" s="33"/>
      <c r="D48" s="32"/>
      <c r="E48" s="36"/>
      <c r="F48" s="36"/>
      <c r="G48" s="33" t="s">
        <v>50</v>
      </c>
    </row>
    <row r="49" spans="1:9" ht="17.25" customHeight="1" x14ac:dyDescent="0.15">
      <c r="A49" s="35"/>
      <c r="B49" s="33"/>
      <c r="C49" s="33"/>
      <c r="D49" s="32"/>
      <c r="E49" s="33" t="s">
        <v>51</v>
      </c>
      <c r="F49" s="33"/>
      <c r="G49" s="33"/>
    </row>
    <row r="50" spans="1:9" ht="23.25" customHeight="1" x14ac:dyDescent="0.15">
      <c r="A50" s="23" t="s">
        <v>39</v>
      </c>
      <c r="B50" s="23" t="s">
        <v>40</v>
      </c>
      <c r="C50" s="23" t="s">
        <v>41</v>
      </c>
      <c r="D50" s="23" t="s">
        <v>192</v>
      </c>
      <c r="E50" s="23" t="s">
        <v>42</v>
      </c>
      <c r="F50" s="23" t="s">
        <v>43</v>
      </c>
      <c r="G50" s="23" t="s">
        <v>44</v>
      </c>
      <c r="H50" s="22"/>
      <c r="I50" s="21"/>
    </row>
    <row r="51" spans="1:9" ht="17.25" customHeight="1" x14ac:dyDescent="0.15">
      <c r="A51" s="30">
        <f>A46+B46</f>
        <v>0.72986111111111107</v>
      </c>
      <c r="B51" s="37">
        <v>6.9444444444444447E-4</v>
      </c>
      <c r="C51" s="33" t="s">
        <v>52</v>
      </c>
      <c r="D51" s="32" t="s">
        <v>193</v>
      </c>
      <c r="E51" s="33" t="s">
        <v>187</v>
      </c>
      <c r="F51" s="33"/>
      <c r="G51" s="33"/>
    </row>
    <row r="52" spans="1:9" ht="17.25" customHeight="1" x14ac:dyDescent="0.15">
      <c r="A52" s="30">
        <f>A51+B51</f>
        <v>0.73055555555555551</v>
      </c>
      <c r="B52" s="37">
        <v>1.3888888888888889E-3</v>
      </c>
      <c r="C52" s="33" t="s">
        <v>53</v>
      </c>
      <c r="D52" s="32" t="s">
        <v>193</v>
      </c>
      <c r="E52" s="33" t="s">
        <v>54</v>
      </c>
      <c r="F52" s="33" t="s">
        <v>113</v>
      </c>
      <c r="G52" s="34"/>
    </row>
    <row r="53" spans="1:9" ht="17.25" customHeight="1" x14ac:dyDescent="0.15">
      <c r="A53" s="30">
        <f>A52+B52</f>
        <v>0.7319444444444444</v>
      </c>
      <c r="B53" s="37">
        <v>1.3888888888888889E-3</v>
      </c>
      <c r="C53" s="33" t="s">
        <v>55</v>
      </c>
      <c r="D53" s="32" t="s">
        <v>193</v>
      </c>
      <c r="E53" s="33" t="s">
        <v>56</v>
      </c>
      <c r="F53" s="33" t="s">
        <v>113</v>
      </c>
      <c r="G53" s="34"/>
    </row>
    <row r="54" spans="1:9" ht="17.25" customHeight="1" x14ac:dyDescent="0.15">
      <c r="A54" s="30">
        <f>A53+B53</f>
        <v>0.73333333333333328</v>
      </c>
      <c r="B54" s="37">
        <v>6.9444444444444447E-4</v>
      </c>
      <c r="C54" s="33" t="s">
        <v>57</v>
      </c>
      <c r="D54" s="32" t="s">
        <v>170</v>
      </c>
      <c r="E54" s="33" t="s">
        <v>236</v>
      </c>
      <c r="F54" s="33"/>
      <c r="G54" s="33"/>
    </row>
    <row r="55" spans="1:9" ht="24" x14ac:dyDescent="0.15">
      <c r="A55" s="30">
        <f>A54+B54</f>
        <v>0.73402777777777772</v>
      </c>
      <c r="B55" s="37">
        <v>6.9444444444444447E-4</v>
      </c>
      <c r="C55" s="33" t="s">
        <v>58</v>
      </c>
      <c r="D55" s="32" t="s">
        <v>185</v>
      </c>
      <c r="E55" s="33" t="s">
        <v>157</v>
      </c>
      <c r="F55" s="33"/>
      <c r="G55" s="33"/>
    </row>
    <row r="56" spans="1:9" ht="24" x14ac:dyDescent="0.15">
      <c r="A56" s="30">
        <f>A55+B55</f>
        <v>0.73472222222222217</v>
      </c>
      <c r="B56" s="37">
        <v>6.9444444444444447E-4</v>
      </c>
      <c r="C56" s="33" t="s">
        <v>59</v>
      </c>
      <c r="D56" s="32" t="s">
        <v>196</v>
      </c>
      <c r="E56" s="33" t="s">
        <v>158</v>
      </c>
      <c r="F56" s="33"/>
      <c r="G56" s="33"/>
    </row>
    <row r="57" spans="1:9" ht="17.25" customHeight="1" x14ac:dyDescent="0.15">
      <c r="A57" s="35"/>
      <c r="B57" s="33"/>
      <c r="C57" s="33"/>
      <c r="D57" s="32" t="s">
        <v>193</v>
      </c>
      <c r="E57" s="33" t="s">
        <v>60</v>
      </c>
      <c r="F57" s="33"/>
      <c r="G57" s="33"/>
    </row>
    <row r="58" spans="1:9" ht="17.25" customHeight="1" x14ac:dyDescent="0.15">
      <c r="A58" s="55"/>
      <c r="B58" s="55"/>
      <c r="C58" s="58" t="s">
        <v>61</v>
      </c>
      <c r="D58" s="32" t="s">
        <v>193</v>
      </c>
      <c r="E58" s="33" t="s">
        <v>62</v>
      </c>
      <c r="F58" s="33"/>
      <c r="G58" s="68"/>
    </row>
    <row r="59" spans="1:9" ht="17.25" customHeight="1" x14ac:dyDescent="0.15">
      <c r="A59" s="55"/>
      <c r="B59" s="57"/>
      <c r="C59" s="58"/>
      <c r="D59" s="32"/>
      <c r="E59" s="36" t="s">
        <v>63</v>
      </c>
      <c r="F59" s="36" t="s">
        <v>203</v>
      </c>
      <c r="G59" s="68"/>
    </row>
    <row r="60" spans="1:9" ht="17.25" customHeight="1" x14ac:dyDescent="0.15">
      <c r="A60" s="55"/>
      <c r="B60" s="57"/>
      <c r="C60" s="58"/>
      <c r="D60" s="32"/>
      <c r="E60" s="36" t="s">
        <v>123</v>
      </c>
      <c r="F60" s="36" t="s">
        <v>203</v>
      </c>
      <c r="G60" s="68"/>
    </row>
    <row r="61" spans="1:9" ht="17.25" customHeight="1" x14ac:dyDescent="0.15">
      <c r="A61" s="56"/>
      <c r="B61" s="57"/>
      <c r="C61" s="58"/>
      <c r="D61" s="32"/>
      <c r="E61" s="36" t="s">
        <v>124</v>
      </c>
      <c r="F61" s="36" t="s">
        <v>203</v>
      </c>
      <c r="G61" s="68"/>
    </row>
    <row r="62" spans="1:9" ht="17.25" customHeight="1" x14ac:dyDescent="0.15">
      <c r="A62" s="30">
        <f>A56+B56</f>
        <v>0.73541666666666661</v>
      </c>
      <c r="B62" s="37">
        <v>5.5555555555555558E-3</v>
      </c>
      <c r="C62" s="33" t="s">
        <v>64</v>
      </c>
      <c r="D62" s="32" t="s">
        <v>193</v>
      </c>
      <c r="E62" s="33" t="s">
        <v>125</v>
      </c>
      <c r="F62" s="33"/>
      <c r="G62" s="33"/>
    </row>
    <row r="63" spans="1:9" ht="17.25" customHeight="1" x14ac:dyDescent="0.15">
      <c r="A63" s="30">
        <f>A62+B62</f>
        <v>0.74097222222222214</v>
      </c>
      <c r="B63" s="37">
        <v>4.1666666666666666E-3</v>
      </c>
      <c r="C63" s="33" t="s">
        <v>65</v>
      </c>
      <c r="D63" s="32" t="s">
        <v>193</v>
      </c>
      <c r="E63" s="33" t="s">
        <v>126</v>
      </c>
      <c r="F63" s="33"/>
      <c r="G63" s="33"/>
    </row>
    <row r="64" spans="1:9" ht="17.25" customHeight="1" x14ac:dyDescent="0.15">
      <c r="A64" s="30">
        <f>A63+B63</f>
        <v>0.7451388888888888</v>
      </c>
      <c r="B64" s="37">
        <v>4.1666666666666666E-3</v>
      </c>
      <c r="C64" s="33" t="s">
        <v>66</v>
      </c>
      <c r="D64" s="32" t="s">
        <v>193</v>
      </c>
      <c r="E64" s="33" t="s">
        <v>127</v>
      </c>
      <c r="F64" s="33"/>
      <c r="G64" s="33"/>
    </row>
    <row r="65" spans="1:7" ht="101.25" customHeight="1" x14ac:dyDescent="0.15">
      <c r="A65" s="30">
        <f>A64+B64</f>
        <v>0.74930555555555545</v>
      </c>
      <c r="B65" s="37">
        <v>6.9444444444444447E-4</v>
      </c>
      <c r="C65" s="33" t="s">
        <v>67</v>
      </c>
      <c r="D65" s="32" t="s">
        <v>193</v>
      </c>
      <c r="E65" s="40" t="s">
        <v>129</v>
      </c>
      <c r="F65" s="40" t="s">
        <v>189</v>
      </c>
      <c r="G65" s="34" t="s">
        <v>68</v>
      </c>
    </row>
    <row r="66" spans="1:7" ht="24" x14ac:dyDescent="0.15">
      <c r="A66" s="35"/>
      <c r="B66" s="33"/>
      <c r="C66" s="33"/>
      <c r="D66" s="32" t="s">
        <v>193</v>
      </c>
      <c r="E66" s="33" t="s">
        <v>128</v>
      </c>
      <c r="F66" s="33"/>
      <c r="G66" s="33"/>
    </row>
    <row r="67" spans="1:7" ht="36" x14ac:dyDescent="0.15">
      <c r="A67" s="30">
        <f>A65+B65</f>
        <v>0.74999999999999989</v>
      </c>
      <c r="B67" s="37">
        <v>2.0833333333333333E-3</v>
      </c>
      <c r="C67" s="33" t="s">
        <v>69</v>
      </c>
      <c r="D67" s="32" t="s">
        <v>195</v>
      </c>
      <c r="E67" s="33" t="s">
        <v>70</v>
      </c>
      <c r="F67" s="33"/>
      <c r="G67" s="34" t="s">
        <v>71</v>
      </c>
    </row>
    <row r="68" spans="1:7" ht="17.25" customHeight="1" x14ac:dyDescent="0.15">
      <c r="A68" s="35"/>
      <c r="B68" s="33"/>
      <c r="C68" s="33" t="s">
        <v>72</v>
      </c>
      <c r="D68" s="32" t="s">
        <v>193</v>
      </c>
      <c r="E68" s="33" t="s">
        <v>130</v>
      </c>
      <c r="F68" s="33"/>
      <c r="G68" s="33"/>
    </row>
    <row r="69" spans="1:7" ht="17.25" customHeight="1" x14ac:dyDescent="0.15">
      <c r="A69" s="35"/>
      <c r="B69" s="33"/>
      <c r="C69" s="33"/>
      <c r="D69" s="32"/>
      <c r="E69" s="33"/>
      <c r="F69" s="33"/>
      <c r="G69" s="33"/>
    </row>
    <row r="70" spans="1:7" ht="36" x14ac:dyDescent="0.15">
      <c r="A70" s="35"/>
      <c r="B70" s="33"/>
      <c r="C70" s="33"/>
      <c r="D70" s="32" t="s">
        <v>193</v>
      </c>
      <c r="E70" s="33" t="s">
        <v>224</v>
      </c>
      <c r="F70" s="33"/>
      <c r="G70" s="33"/>
    </row>
    <row r="71" spans="1:7" x14ac:dyDescent="0.15">
      <c r="A71" s="30">
        <f>A67+B67</f>
        <v>0.75208333333333321</v>
      </c>
      <c r="B71" s="37">
        <v>1.3888888888888889E-3</v>
      </c>
      <c r="C71" s="33" t="s">
        <v>69</v>
      </c>
      <c r="D71" s="32" t="s">
        <v>195</v>
      </c>
      <c r="E71" s="33" t="s">
        <v>70</v>
      </c>
      <c r="F71" s="33"/>
      <c r="G71" s="34"/>
    </row>
    <row r="72" spans="1:7" ht="17.25" customHeight="1" x14ac:dyDescent="0.15">
      <c r="A72" s="35"/>
      <c r="B72" s="33"/>
      <c r="C72" s="33" t="s">
        <v>73</v>
      </c>
      <c r="D72" s="32" t="s">
        <v>193</v>
      </c>
      <c r="E72" s="33" t="s">
        <v>225</v>
      </c>
      <c r="F72" s="33"/>
      <c r="G72" s="33"/>
    </row>
    <row r="73" spans="1:7" ht="17.25" customHeight="1" x14ac:dyDescent="0.15">
      <c r="A73" s="35"/>
      <c r="B73" s="33"/>
      <c r="C73" s="33"/>
      <c r="D73" s="32"/>
      <c r="E73" s="33"/>
      <c r="F73" s="33"/>
      <c r="G73" s="33"/>
    </row>
    <row r="74" spans="1:7" ht="17.25" customHeight="1" x14ac:dyDescent="0.15">
      <c r="A74" s="30">
        <f>A71+B71</f>
        <v>0.7534722222222221</v>
      </c>
      <c r="B74" s="37">
        <v>6.9444444444444447E-4</v>
      </c>
      <c r="C74" s="33" t="s">
        <v>74</v>
      </c>
      <c r="D74" s="32" t="s">
        <v>193</v>
      </c>
      <c r="E74" s="33" t="s">
        <v>133</v>
      </c>
      <c r="F74" s="33"/>
      <c r="G74" s="33"/>
    </row>
    <row r="75" spans="1:7" ht="36" x14ac:dyDescent="0.15">
      <c r="A75" s="35"/>
      <c r="B75" s="33"/>
      <c r="C75" s="35"/>
      <c r="D75" s="32" t="s">
        <v>197</v>
      </c>
      <c r="E75" s="36" t="s">
        <v>214</v>
      </c>
      <c r="F75" s="36"/>
      <c r="G75" s="33" t="s">
        <v>134</v>
      </c>
    </row>
    <row r="76" spans="1:7" ht="17.25" customHeight="1" x14ac:dyDescent="0.15">
      <c r="A76" s="35"/>
      <c r="B76" s="33"/>
      <c r="C76" s="35"/>
      <c r="D76" s="32" t="s">
        <v>197</v>
      </c>
      <c r="E76" s="36" t="s">
        <v>75</v>
      </c>
      <c r="F76" s="36"/>
      <c r="G76" s="33" t="s">
        <v>76</v>
      </c>
    </row>
    <row r="77" spans="1:7" ht="17.25" customHeight="1" x14ac:dyDescent="0.15">
      <c r="A77" s="30">
        <f>A74+B74</f>
        <v>0.75416666666666654</v>
      </c>
      <c r="B77" s="37">
        <v>6.9444444444444447E-4</v>
      </c>
      <c r="C77" s="33" t="s">
        <v>77</v>
      </c>
      <c r="D77" s="32" t="s">
        <v>193</v>
      </c>
      <c r="E77" s="33" t="s">
        <v>78</v>
      </c>
      <c r="F77" s="33"/>
      <c r="G77" s="33"/>
    </row>
    <row r="78" spans="1:7" x14ac:dyDescent="0.15">
      <c r="A78" s="35"/>
      <c r="B78" s="33"/>
      <c r="C78" s="33"/>
      <c r="D78" s="32"/>
      <c r="E78" s="41"/>
      <c r="F78" s="41" t="s">
        <v>159</v>
      </c>
      <c r="G78" s="33" t="s">
        <v>190</v>
      </c>
    </row>
    <row r="79" spans="1:7" ht="24" x14ac:dyDescent="0.15">
      <c r="A79" s="35"/>
      <c r="B79" s="33"/>
      <c r="C79" s="33"/>
      <c r="D79" s="32"/>
      <c r="E79" s="33"/>
      <c r="F79" s="33"/>
      <c r="G79" s="42" t="s">
        <v>160</v>
      </c>
    </row>
    <row r="80" spans="1:7" ht="17.25" customHeight="1" x14ac:dyDescent="0.15">
      <c r="A80" s="30"/>
      <c r="B80" s="37"/>
      <c r="C80" s="33" t="s">
        <v>79</v>
      </c>
      <c r="D80" s="32"/>
      <c r="E80" s="36" t="s">
        <v>80</v>
      </c>
      <c r="F80" s="36"/>
      <c r="G80" s="33"/>
    </row>
    <row r="81" spans="1:9" ht="24" x14ac:dyDescent="0.15">
      <c r="A81" s="35"/>
      <c r="B81" s="33"/>
      <c r="C81" s="33"/>
      <c r="D81" s="43" t="s">
        <v>199</v>
      </c>
      <c r="E81" s="36" t="s">
        <v>226</v>
      </c>
      <c r="F81" s="44"/>
      <c r="G81" s="33"/>
    </row>
    <row r="82" spans="1:9" ht="17.25" customHeight="1" x14ac:dyDescent="0.15">
      <c r="A82" s="30">
        <f>A77+B77</f>
        <v>0.75486111111111098</v>
      </c>
      <c r="B82" s="37">
        <v>3.472222222222222E-3</v>
      </c>
      <c r="C82" s="45" t="s">
        <v>81</v>
      </c>
      <c r="D82" s="43" t="s">
        <v>199</v>
      </c>
      <c r="E82" s="36" t="s">
        <v>135</v>
      </c>
      <c r="F82" s="44"/>
      <c r="G82" s="33"/>
    </row>
    <row r="83" spans="1:9" ht="17.25" customHeight="1" x14ac:dyDescent="0.15">
      <c r="A83" s="35"/>
      <c r="B83" s="33"/>
      <c r="C83" s="33"/>
      <c r="D83" s="43" t="s">
        <v>199</v>
      </c>
      <c r="E83" s="36" t="s">
        <v>82</v>
      </c>
      <c r="F83" s="44"/>
      <c r="G83" s="33"/>
    </row>
    <row r="84" spans="1:9" ht="36" x14ac:dyDescent="0.15">
      <c r="A84" s="35"/>
      <c r="B84" s="33"/>
      <c r="C84" s="33"/>
      <c r="D84" s="32" t="s">
        <v>197</v>
      </c>
      <c r="E84" s="36" t="s">
        <v>204</v>
      </c>
      <c r="F84" s="44"/>
      <c r="G84" s="33"/>
    </row>
    <row r="85" spans="1:9" ht="24" x14ac:dyDescent="0.15">
      <c r="A85" s="35"/>
      <c r="B85" s="33"/>
      <c r="C85" s="33"/>
      <c r="D85" s="43" t="s">
        <v>199</v>
      </c>
      <c r="E85" s="36" t="s">
        <v>205</v>
      </c>
      <c r="F85" s="44"/>
      <c r="G85" s="33"/>
    </row>
    <row r="86" spans="1:9" ht="24" x14ac:dyDescent="0.15">
      <c r="A86" s="35"/>
      <c r="B86" s="33"/>
      <c r="C86" s="31"/>
      <c r="D86" s="32" t="s">
        <v>207</v>
      </c>
      <c r="E86" s="36" t="s">
        <v>206</v>
      </c>
      <c r="F86" s="36"/>
      <c r="G86" s="33"/>
    </row>
    <row r="87" spans="1:9" ht="72" x14ac:dyDescent="0.15">
      <c r="A87" s="35"/>
      <c r="B87" s="33"/>
      <c r="C87" s="33" t="s">
        <v>83</v>
      </c>
      <c r="D87" s="43" t="s">
        <v>199</v>
      </c>
      <c r="E87" s="36" t="s">
        <v>230</v>
      </c>
      <c r="F87" s="44"/>
      <c r="G87" s="33" t="s">
        <v>142</v>
      </c>
    </row>
    <row r="88" spans="1:9" ht="48" x14ac:dyDescent="0.15">
      <c r="A88" s="35"/>
      <c r="B88" s="33"/>
      <c r="C88" s="32"/>
      <c r="D88" s="43" t="s">
        <v>199</v>
      </c>
      <c r="E88" s="44" t="s">
        <v>84</v>
      </c>
      <c r="F88" s="44"/>
      <c r="G88" s="15"/>
    </row>
    <row r="89" spans="1:9" x14ac:dyDescent="0.15">
      <c r="A89" s="35"/>
      <c r="B89" s="33"/>
      <c r="C89" s="32"/>
      <c r="D89" s="32"/>
      <c r="E89" s="44"/>
      <c r="F89" s="44"/>
      <c r="G89" s="15"/>
      <c r="H89" s="21"/>
    </row>
    <row r="90" spans="1:9" ht="23.25" customHeight="1" x14ac:dyDescent="0.15">
      <c r="A90" s="23" t="s">
        <v>39</v>
      </c>
      <c r="B90" s="23" t="s">
        <v>40</v>
      </c>
      <c r="C90" s="23" t="s">
        <v>41</v>
      </c>
      <c r="D90" s="23" t="s">
        <v>192</v>
      </c>
      <c r="E90" s="23" t="s">
        <v>42</v>
      </c>
      <c r="F90" s="23" t="s">
        <v>43</v>
      </c>
      <c r="G90" s="23" t="s">
        <v>44</v>
      </c>
      <c r="H90" s="22"/>
      <c r="I90" s="21"/>
    </row>
    <row r="91" spans="1:9" ht="17.25" customHeight="1" x14ac:dyDescent="0.15">
      <c r="A91" s="51">
        <f>A82+B82</f>
        <v>0.75833333333333319</v>
      </c>
      <c r="B91" s="37">
        <v>3.472222222222222E-3</v>
      </c>
      <c r="C91" s="45" t="s">
        <v>85</v>
      </c>
      <c r="D91" s="43" t="s">
        <v>199</v>
      </c>
      <c r="E91" s="36" t="s">
        <v>212</v>
      </c>
      <c r="F91" s="44"/>
      <c r="G91" s="53"/>
      <c r="H91" s="21"/>
    </row>
    <row r="92" spans="1:9" ht="17.25" customHeight="1" x14ac:dyDescent="0.15">
      <c r="A92" s="52"/>
      <c r="B92" s="33"/>
      <c r="C92" s="33"/>
      <c r="D92" s="43" t="s">
        <v>199</v>
      </c>
      <c r="E92" s="36" t="s">
        <v>86</v>
      </c>
      <c r="F92" s="44"/>
      <c r="G92" s="53"/>
    </row>
    <row r="93" spans="1:9" ht="24" x14ac:dyDescent="0.15">
      <c r="A93" s="52"/>
      <c r="B93" s="33"/>
      <c r="C93" s="33"/>
      <c r="D93" s="54" t="s">
        <v>197</v>
      </c>
      <c r="E93" s="36" t="s">
        <v>138</v>
      </c>
      <c r="F93" s="44"/>
      <c r="G93" s="33"/>
    </row>
    <row r="94" spans="1:9" ht="17.25" customHeight="1" x14ac:dyDescent="0.15">
      <c r="A94" s="52"/>
      <c r="B94" s="33"/>
      <c r="C94" s="33"/>
      <c r="D94" s="43" t="s">
        <v>199</v>
      </c>
      <c r="E94" s="36" t="s">
        <v>139</v>
      </c>
      <c r="F94" s="44"/>
      <c r="G94" s="33"/>
    </row>
    <row r="95" spans="1:9" ht="17.25" customHeight="1" x14ac:dyDescent="0.15">
      <c r="A95" s="52"/>
      <c r="B95" s="33"/>
      <c r="C95" s="33"/>
      <c r="D95" s="54" t="s">
        <v>200</v>
      </c>
      <c r="E95" s="44" t="s">
        <v>87</v>
      </c>
      <c r="F95" s="44"/>
      <c r="G95" s="33" t="s">
        <v>88</v>
      </c>
    </row>
    <row r="96" spans="1:9" ht="72" x14ac:dyDescent="0.15">
      <c r="A96" s="52"/>
      <c r="B96" s="33"/>
      <c r="C96" s="33" t="s">
        <v>83</v>
      </c>
      <c r="D96" s="43" t="s">
        <v>199</v>
      </c>
      <c r="E96" s="36" t="s">
        <v>231</v>
      </c>
      <c r="F96" s="44"/>
      <c r="G96" s="33" t="s">
        <v>142</v>
      </c>
    </row>
    <row r="97" spans="1:8" ht="48" x14ac:dyDescent="0.15">
      <c r="A97" s="52"/>
      <c r="B97" s="33"/>
      <c r="C97" s="33"/>
      <c r="D97" s="43" t="s">
        <v>199</v>
      </c>
      <c r="E97" s="44" t="s">
        <v>84</v>
      </c>
      <c r="F97" s="44"/>
      <c r="G97" s="33"/>
    </row>
    <row r="98" spans="1:8" x14ac:dyDescent="0.15">
      <c r="A98" s="52"/>
      <c r="B98" s="33"/>
      <c r="C98" s="33"/>
      <c r="D98" s="54"/>
      <c r="E98" s="44"/>
      <c r="F98" s="44"/>
      <c r="G98" s="33"/>
    </row>
    <row r="99" spans="1:8" ht="17.25" customHeight="1" x14ac:dyDescent="0.15">
      <c r="A99" s="30">
        <f>A91+B91</f>
        <v>0.7618055555555554</v>
      </c>
      <c r="B99" s="37">
        <v>3.472222222222222E-3</v>
      </c>
      <c r="C99" s="45" t="s">
        <v>210</v>
      </c>
      <c r="D99" s="43" t="s">
        <v>199</v>
      </c>
      <c r="E99" s="36" t="s">
        <v>211</v>
      </c>
      <c r="F99" s="44"/>
      <c r="G99" s="15"/>
      <c r="H99" s="21"/>
    </row>
    <row r="100" spans="1:8" ht="17.25" customHeight="1" x14ac:dyDescent="0.15">
      <c r="A100" s="35"/>
      <c r="B100" s="33"/>
      <c r="C100" s="33"/>
      <c r="D100" s="43" t="s">
        <v>199</v>
      </c>
      <c r="E100" s="36" t="s">
        <v>86</v>
      </c>
      <c r="F100" s="44"/>
      <c r="G100" s="15"/>
    </row>
    <row r="101" spans="1:8" ht="24" x14ac:dyDescent="0.15">
      <c r="A101" s="35"/>
      <c r="B101" s="33"/>
      <c r="C101" s="33"/>
      <c r="D101" s="32" t="s">
        <v>197</v>
      </c>
      <c r="E101" s="36" t="s">
        <v>138</v>
      </c>
      <c r="F101" s="44"/>
      <c r="G101" s="33"/>
    </row>
    <row r="102" spans="1:8" ht="17.25" customHeight="1" x14ac:dyDescent="0.15">
      <c r="A102" s="35"/>
      <c r="B102" s="33"/>
      <c r="C102" s="33"/>
      <c r="D102" s="43" t="s">
        <v>199</v>
      </c>
      <c r="E102" s="36" t="s">
        <v>139</v>
      </c>
      <c r="F102" s="44"/>
      <c r="G102" s="33"/>
    </row>
    <row r="103" spans="1:8" ht="17.25" customHeight="1" x14ac:dyDescent="0.15">
      <c r="A103" s="35"/>
      <c r="B103" s="33"/>
      <c r="C103" s="33"/>
      <c r="D103" s="32" t="s">
        <v>200</v>
      </c>
      <c r="E103" s="44" t="s">
        <v>87</v>
      </c>
      <c r="F103" s="44"/>
      <c r="G103" s="33" t="s">
        <v>88</v>
      </c>
    </row>
    <row r="104" spans="1:8" ht="72" x14ac:dyDescent="0.15">
      <c r="A104" s="35"/>
      <c r="B104" s="33"/>
      <c r="C104" s="33" t="s">
        <v>83</v>
      </c>
      <c r="D104" s="43" t="s">
        <v>199</v>
      </c>
      <c r="E104" s="36" t="s">
        <v>232</v>
      </c>
      <c r="F104" s="44"/>
      <c r="G104" s="33" t="s">
        <v>142</v>
      </c>
    </row>
    <row r="105" spans="1:8" ht="48" x14ac:dyDescent="0.15">
      <c r="A105" s="35"/>
      <c r="B105" s="33"/>
      <c r="C105" s="33"/>
      <c r="D105" s="43" t="s">
        <v>199</v>
      </c>
      <c r="E105" s="44" t="s">
        <v>84</v>
      </c>
      <c r="F105" s="44"/>
      <c r="G105" s="33"/>
    </row>
    <row r="106" spans="1:8" x14ac:dyDescent="0.15">
      <c r="A106" s="35"/>
      <c r="B106" s="33"/>
      <c r="C106" s="33"/>
      <c r="D106" s="32"/>
      <c r="E106" s="44"/>
      <c r="F106" s="44"/>
      <c r="G106" s="33"/>
    </row>
    <row r="107" spans="1:8" ht="24" x14ac:dyDescent="0.15">
      <c r="A107" s="30">
        <f>A99+B99</f>
        <v>0.76527777777777761</v>
      </c>
      <c r="B107" s="37">
        <v>6.9444444444444447E-4</v>
      </c>
      <c r="C107" s="33" t="s">
        <v>164</v>
      </c>
      <c r="D107" s="43" t="s">
        <v>199</v>
      </c>
      <c r="E107" s="36" t="s">
        <v>215</v>
      </c>
      <c r="F107" s="36"/>
      <c r="G107" s="33" t="s">
        <v>90</v>
      </c>
    </row>
    <row r="108" spans="1:8" ht="24" x14ac:dyDescent="0.15">
      <c r="A108" s="35"/>
      <c r="B108" s="33"/>
      <c r="C108" s="33"/>
      <c r="D108" s="32"/>
      <c r="E108" s="36"/>
      <c r="F108" s="36" t="s">
        <v>91</v>
      </c>
      <c r="G108" s="34" t="s">
        <v>161</v>
      </c>
    </row>
    <row r="109" spans="1:8" ht="60" x14ac:dyDescent="0.15">
      <c r="A109" s="30">
        <f>A107+B107</f>
        <v>0.76597222222222205</v>
      </c>
      <c r="B109" s="37">
        <v>6.9444444444444447E-4</v>
      </c>
      <c r="C109" s="33" t="s">
        <v>92</v>
      </c>
      <c r="D109" s="32" t="s">
        <v>193</v>
      </c>
      <c r="E109" s="33" t="s">
        <v>229</v>
      </c>
      <c r="F109" s="33"/>
      <c r="G109" s="33"/>
    </row>
    <row r="110" spans="1:8" ht="17.25" customHeight="1" x14ac:dyDescent="0.15">
      <c r="A110" s="30">
        <f t="shared" ref="A110:A117" si="0">A109+B109</f>
        <v>0.7666666666666665</v>
      </c>
      <c r="B110" s="37">
        <v>6.9444444444444447E-4</v>
      </c>
      <c r="C110" s="33" t="s">
        <v>93</v>
      </c>
      <c r="D110" s="32" t="s">
        <v>193</v>
      </c>
      <c r="E110" s="33" t="s">
        <v>94</v>
      </c>
      <c r="F110" s="33"/>
      <c r="G110" s="33" t="s">
        <v>95</v>
      </c>
    </row>
    <row r="111" spans="1:8" ht="24" x14ac:dyDescent="0.15">
      <c r="A111" s="37">
        <f>A110+B110</f>
        <v>0.76736111111111094</v>
      </c>
      <c r="B111" s="37">
        <v>1.3888888888888889E-3</v>
      </c>
      <c r="C111" s="33" t="s">
        <v>96</v>
      </c>
      <c r="D111" s="32" t="s">
        <v>193</v>
      </c>
      <c r="E111" s="33" t="s">
        <v>227</v>
      </c>
      <c r="F111" s="33" t="s">
        <v>97</v>
      </c>
      <c r="G111" s="46" t="s">
        <v>228</v>
      </c>
    </row>
    <row r="112" spans="1:8" ht="17.25" customHeight="1" x14ac:dyDescent="0.15">
      <c r="A112" s="37"/>
      <c r="B112" s="37"/>
      <c r="C112" s="33"/>
      <c r="D112" s="32" t="s">
        <v>193</v>
      </c>
      <c r="E112" s="33" t="s">
        <v>143</v>
      </c>
      <c r="F112" s="33"/>
      <c r="G112" s="33" t="s">
        <v>98</v>
      </c>
    </row>
    <row r="113" spans="1:7" ht="17.25" customHeight="1" x14ac:dyDescent="0.15">
      <c r="A113" s="30"/>
      <c r="B113" s="37"/>
      <c r="C113" s="33"/>
      <c r="D113" s="32"/>
      <c r="E113" s="47"/>
      <c r="F113" s="47"/>
      <c r="G113" s="33"/>
    </row>
    <row r="114" spans="1:7" ht="17.25" customHeight="1" x14ac:dyDescent="0.15">
      <c r="A114" s="30">
        <f>A111+B111</f>
        <v>0.76874999999999982</v>
      </c>
      <c r="B114" s="37">
        <v>6.9444444444444447E-4</v>
      </c>
      <c r="C114" s="33" t="s">
        <v>99</v>
      </c>
      <c r="D114" s="32" t="s">
        <v>193</v>
      </c>
      <c r="E114" s="47" t="s">
        <v>115</v>
      </c>
      <c r="F114" s="47"/>
      <c r="G114" s="33"/>
    </row>
    <row r="115" spans="1:7" ht="17.25" customHeight="1" x14ac:dyDescent="0.15">
      <c r="A115" s="30">
        <f>A114+B114</f>
        <v>0.76944444444444426</v>
      </c>
      <c r="B115" s="37">
        <v>6.9444444444444447E-4</v>
      </c>
      <c r="C115" s="33"/>
      <c r="D115" s="32" t="s">
        <v>193</v>
      </c>
      <c r="E115" s="47" t="s">
        <v>171</v>
      </c>
      <c r="F115" s="47"/>
      <c r="G115" s="33"/>
    </row>
    <row r="116" spans="1:7" ht="17.25" customHeight="1" x14ac:dyDescent="0.15">
      <c r="A116" s="30">
        <f>A115+B115</f>
        <v>0.77013888888888871</v>
      </c>
      <c r="B116" s="37">
        <v>6.9444444444444447E-4</v>
      </c>
      <c r="C116" s="33" t="s">
        <v>100</v>
      </c>
      <c r="D116" s="32" t="s">
        <v>193</v>
      </c>
      <c r="E116" s="33" t="s">
        <v>202</v>
      </c>
      <c r="F116" s="33"/>
      <c r="G116" s="15"/>
    </row>
    <row r="117" spans="1:7" ht="36" x14ac:dyDescent="0.15">
      <c r="A117" s="30">
        <f t="shared" si="0"/>
        <v>0.77083333333333315</v>
      </c>
      <c r="B117" s="37"/>
      <c r="C117" s="33" t="s">
        <v>101</v>
      </c>
      <c r="D117" s="32" t="s">
        <v>193</v>
      </c>
      <c r="E117" s="33" t="s">
        <v>234</v>
      </c>
      <c r="F117" s="33"/>
      <c r="G117" s="47"/>
    </row>
    <row r="118" spans="1:7" ht="17.25" customHeight="1" x14ac:dyDescent="0.15"/>
    <row r="119" spans="1:7" ht="17.25" customHeight="1" x14ac:dyDescent="0.15"/>
    <row r="120" spans="1:7" ht="17.25" customHeight="1" x14ac:dyDescent="0.15">
      <c r="E120" s="1" t="s">
        <v>103</v>
      </c>
    </row>
    <row r="121" spans="1:7" ht="17.25" customHeight="1" x14ac:dyDescent="0.15"/>
    <row r="122" spans="1:7" ht="17.25" customHeight="1" x14ac:dyDescent="0.15"/>
    <row r="123" spans="1:7" ht="17.25" customHeight="1" x14ac:dyDescent="0.15"/>
    <row r="124" spans="1:7" ht="17.25" customHeight="1" x14ac:dyDescent="0.15"/>
    <row r="125" spans="1:7" ht="13.5" x14ac:dyDescent="0.15">
      <c r="C125" s="10"/>
      <c r="D125" s="11"/>
      <c r="E125" s="10"/>
      <c r="F125" s="10"/>
    </row>
    <row r="126" spans="1:7" ht="13.5" x14ac:dyDescent="0.15">
      <c r="C126" s="10"/>
      <c r="D126" s="11"/>
      <c r="E126" s="10"/>
      <c r="F126" s="10"/>
    </row>
  </sheetData>
  <mergeCells count="15">
    <mergeCell ref="A58:A61"/>
    <mergeCell ref="B58:B61"/>
    <mergeCell ref="C58:C61"/>
    <mergeCell ref="A1:G1"/>
    <mergeCell ref="A3:G3"/>
    <mergeCell ref="C28:E28"/>
    <mergeCell ref="C29:D29"/>
    <mergeCell ref="C30:D30"/>
    <mergeCell ref="C31:D31"/>
    <mergeCell ref="G58:G61"/>
    <mergeCell ref="C32:D32"/>
    <mergeCell ref="C33:D33"/>
    <mergeCell ref="C34:D34"/>
    <mergeCell ref="C35:D35"/>
    <mergeCell ref="C36:D36"/>
  </mergeCells>
  <phoneticPr fontId="3"/>
  <printOptions horizontalCentered="1"/>
  <pageMargins left="0.37" right="0.22" top="0.55000000000000004" bottom="0.19685039370078741" header="0.32" footer="0"/>
  <pageSetup paperSize="9" scale="61" fitToWidth="0" fitToHeight="2" orientation="landscape" verticalDpi="400" r:id="rId1"/>
  <headerFooter alignWithMargins="0">
    <oddHeader xml:space="preserve">&amp;C&amp;16&amp;K000000 </oddHeader>
  </headerFooter>
  <rowBreaks count="2" manualBreakCount="2">
    <brk id="49" max="6" man="1"/>
    <brk id="89" max="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58CF5-227A-4B37-B0B6-4B230869B16A}">
  <dimension ref="A1:H119"/>
  <sheetViews>
    <sheetView view="pageBreakPreview" zoomScaleNormal="97" zoomScaleSheetLayoutView="100" workbookViewId="0">
      <selection activeCell="C32" sqref="C32:D32"/>
    </sheetView>
  </sheetViews>
  <sheetFormatPr defaultColWidth="13" defaultRowHeight="12" x14ac:dyDescent="0.15"/>
  <cols>
    <col min="1" max="1" width="5.625" style="1" customWidth="1"/>
    <col min="2" max="2" width="4.625" style="1" bestFit="1" customWidth="1"/>
    <col min="3" max="3" width="20" style="1" bestFit="1" customWidth="1"/>
    <col min="4" max="4" width="8.375" style="2" customWidth="1"/>
    <col min="5" max="5" width="65.125" style="1" customWidth="1"/>
    <col min="6" max="7" width="48.625" style="1" customWidth="1"/>
    <col min="8" max="8" width="8.375" style="2" customWidth="1"/>
    <col min="9" max="16384" width="13" style="1"/>
  </cols>
  <sheetData>
    <row r="1" spans="1:8" ht="21.75" customHeight="1" x14ac:dyDescent="0.15">
      <c r="A1" s="59" t="s">
        <v>208</v>
      </c>
      <c r="B1" s="59"/>
      <c r="C1" s="59"/>
      <c r="D1" s="59"/>
      <c r="E1" s="59"/>
      <c r="F1" s="59"/>
      <c r="G1" s="59"/>
      <c r="H1" s="1"/>
    </row>
    <row r="2" spans="1:8" x14ac:dyDescent="0.15">
      <c r="B2" s="2"/>
      <c r="G2" s="3">
        <f ca="1">NOW()</f>
        <v>44211.448724421294</v>
      </c>
    </row>
    <row r="3" spans="1:8" ht="21.75" customHeight="1" x14ac:dyDescent="0.15">
      <c r="A3" s="60" t="s">
        <v>118</v>
      </c>
      <c r="B3" s="60"/>
      <c r="C3" s="60"/>
      <c r="D3" s="60"/>
      <c r="E3" s="60"/>
      <c r="F3" s="60"/>
      <c r="G3" s="60"/>
      <c r="H3" s="1"/>
    </row>
    <row r="4" spans="1:8" ht="17.25" customHeight="1" x14ac:dyDescent="0.15">
      <c r="B4" s="2"/>
    </row>
    <row r="5" spans="1:8" ht="17.25" customHeight="1" x14ac:dyDescent="0.15">
      <c r="B5" s="2" t="s">
        <v>0</v>
      </c>
      <c r="C5" s="4" t="s">
        <v>1</v>
      </c>
      <c r="D5" s="5">
        <v>0.625</v>
      </c>
      <c r="E5" s="1" t="s">
        <v>181</v>
      </c>
      <c r="F5" s="13"/>
      <c r="G5" s="1" t="s">
        <v>104</v>
      </c>
      <c r="H5" s="5">
        <v>0.625</v>
      </c>
    </row>
    <row r="6" spans="1:8" ht="17.25" customHeight="1" x14ac:dyDescent="0.15">
      <c r="B6" s="2"/>
      <c r="C6" s="1" t="s">
        <v>146</v>
      </c>
      <c r="D6" s="5">
        <v>0.65625</v>
      </c>
      <c r="E6" s="1" t="s">
        <v>145</v>
      </c>
      <c r="H6" s="5">
        <v>0.65625</v>
      </c>
    </row>
    <row r="7" spans="1:8" ht="17.25" customHeight="1" x14ac:dyDescent="0.15">
      <c r="B7" s="2"/>
      <c r="D7" s="5">
        <v>0.6875</v>
      </c>
      <c r="H7" s="5">
        <v>0.6875</v>
      </c>
    </row>
    <row r="8" spans="1:8" ht="17.25" customHeight="1" x14ac:dyDescent="0.15">
      <c r="B8" s="2"/>
      <c r="D8" s="2" t="s">
        <v>2</v>
      </c>
      <c r="E8" s="1" t="s">
        <v>105</v>
      </c>
      <c r="H8" s="2" t="s">
        <v>2</v>
      </c>
    </row>
    <row r="9" spans="1:8" ht="17.25" customHeight="1" x14ac:dyDescent="0.15">
      <c r="B9" s="2"/>
    </row>
    <row r="10" spans="1:8" ht="17.25" customHeight="1" x14ac:dyDescent="0.15">
      <c r="B10" s="2" t="s">
        <v>3</v>
      </c>
      <c r="C10" s="4" t="s">
        <v>4</v>
      </c>
      <c r="E10" s="1" t="s">
        <v>183</v>
      </c>
    </row>
    <row r="11" spans="1:8" ht="17.25" customHeight="1" x14ac:dyDescent="0.15">
      <c r="B11" s="2"/>
      <c r="C11" s="6" t="s">
        <v>5</v>
      </c>
      <c r="E11" s="1" t="s">
        <v>182</v>
      </c>
    </row>
    <row r="12" spans="1:8" ht="17.25" customHeight="1" x14ac:dyDescent="0.15">
      <c r="B12" s="2"/>
      <c r="C12" s="6" t="s">
        <v>6</v>
      </c>
      <c r="E12" s="1" t="s">
        <v>119</v>
      </c>
      <c r="F12" s="1" t="s">
        <v>180</v>
      </c>
    </row>
    <row r="13" spans="1:8" ht="17.25" customHeight="1" x14ac:dyDescent="0.15">
      <c r="B13" s="2"/>
      <c r="C13" s="6" t="s">
        <v>106</v>
      </c>
      <c r="E13" s="1" t="s">
        <v>147</v>
      </c>
    </row>
    <row r="14" spans="1:8" ht="17.25" customHeight="1" x14ac:dyDescent="0.15">
      <c r="B14" s="2"/>
      <c r="C14" s="6" t="s">
        <v>7</v>
      </c>
      <c r="E14" s="1" t="s">
        <v>148</v>
      </c>
    </row>
    <row r="15" spans="1:8" ht="17.25" customHeight="1" x14ac:dyDescent="0.15">
      <c r="B15" s="2"/>
      <c r="C15" s="6" t="s">
        <v>8</v>
      </c>
      <c r="E15" s="1" t="s">
        <v>120</v>
      </c>
    </row>
    <row r="16" spans="1:8" ht="17.25" customHeight="1" x14ac:dyDescent="0.15">
      <c r="B16" s="2"/>
      <c r="C16" s="2" t="s">
        <v>9</v>
      </c>
    </row>
    <row r="17" spans="1:8" ht="17.25" customHeight="1" x14ac:dyDescent="0.15">
      <c r="B17" s="2" t="s">
        <v>3</v>
      </c>
      <c r="C17" s="4" t="s">
        <v>10</v>
      </c>
    </row>
    <row r="18" spans="1:8" ht="17.25" customHeight="1" x14ac:dyDescent="0.15">
      <c r="B18" s="2"/>
      <c r="C18" s="6" t="s">
        <v>11</v>
      </c>
      <c r="E18" s="1" t="s">
        <v>150</v>
      </c>
    </row>
    <row r="19" spans="1:8" ht="17.25" customHeight="1" x14ac:dyDescent="0.15">
      <c r="B19" s="2"/>
      <c r="C19" s="6" t="s">
        <v>12</v>
      </c>
      <c r="E19" s="1" t="s">
        <v>149</v>
      </c>
      <c r="F19" s="1" t="s">
        <v>13</v>
      </c>
    </row>
    <row r="20" spans="1:8" ht="17.25" customHeight="1" x14ac:dyDescent="0.15">
      <c r="B20" s="2" t="s">
        <v>3</v>
      </c>
      <c r="C20" s="4" t="s">
        <v>14</v>
      </c>
    </row>
    <row r="21" spans="1:8" ht="17.25" customHeight="1" x14ac:dyDescent="0.15">
      <c r="B21" s="2"/>
      <c r="C21" s="6" t="s">
        <v>15</v>
      </c>
      <c r="E21" s="1" t="s">
        <v>176</v>
      </c>
      <c r="F21" s="1" t="s">
        <v>177</v>
      </c>
    </row>
    <row r="22" spans="1:8" ht="17.25" customHeight="1" x14ac:dyDescent="0.15">
      <c r="B22" s="2"/>
      <c r="C22" s="6" t="s">
        <v>16</v>
      </c>
      <c r="E22" s="1" t="s">
        <v>175</v>
      </c>
      <c r="F22" s="1" t="s">
        <v>178</v>
      </c>
    </row>
    <row r="23" spans="1:8" ht="17.25" customHeight="1" x14ac:dyDescent="0.15">
      <c r="B23" s="2"/>
      <c r="C23" s="6" t="s">
        <v>168</v>
      </c>
      <c r="E23" s="1" t="s">
        <v>173</v>
      </c>
    </row>
    <row r="24" spans="1:8" ht="17.25" customHeight="1" x14ac:dyDescent="0.15">
      <c r="B24" s="2"/>
      <c r="C24" s="6" t="s">
        <v>169</v>
      </c>
      <c r="E24" s="1" t="s">
        <v>170</v>
      </c>
    </row>
    <row r="25" spans="1:8" ht="17.25" customHeight="1" x14ac:dyDescent="0.15">
      <c r="B25" s="2"/>
      <c r="C25" s="6" t="s">
        <v>17</v>
      </c>
      <c r="E25" s="1" t="s">
        <v>174</v>
      </c>
      <c r="F25" s="1" t="s">
        <v>107</v>
      </c>
    </row>
    <row r="26" spans="1:8" ht="17.25" customHeight="1" x14ac:dyDescent="0.15">
      <c r="B26" s="2"/>
      <c r="C26" s="6" t="s">
        <v>18</v>
      </c>
      <c r="E26" s="1" t="s">
        <v>179</v>
      </c>
    </row>
    <row r="27" spans="1:8" ht="17.25" customHeight="1" x14ac:dyDescent="0.15">
      <c r="C27" s="6" t="s">
        <v>184</v>
      </c>
      <c r="E27" s="1" t="s">
        <v>186</v>
      </c>
    </row>
    <row r="28" spans="1:8" ht="17.25" customHeight="1" x14ac:dyDescent="0.15">
      <c r="A28" s="2"/>
      <c r="B28" s="2" t="s">
        <v>19</v>
      </c>
      <c r="C28" s="61" t="s">
        <v>20</v>
      </c>
      <c r="D28" s="61"/>
      <c r="E28" s="61"/>
      <c r="F28" s="14"/>
      <c r="H28" s="1"/>
    </row>
    <row r="29" spans="1:8" ht="17.25" customHeight="1" x14ac:dyDescent="0.15">
      <c r="A29" s="8"/>
      <c r="B29" s="8"/>
      <c r="C29" s="62" t="s">
        <v>21</v>
      </c>
      <c r="D29" s="63"/>
      <c r="E29" s="20" t="s">
        <v>22</v>
      </c>
      <c r="F29" s="20" t="s">
        <v>23</v>
      </c>
      <c r="G29" s="20" t="s">
        <v>24</v>
      </c>
      <c r="H29" s="1"/>
    </row>
    <row r="30" spans="1:8" ht="17.25" customHeight="1" x14ac:dyDescent="0.15">
      <c r="C30" s="64" t="s">
        <v>25</v>
      </c>
      <c r="D30" s="65"/>
      <c r="E30" s="19" t="s">
        <v>26</v>
      </c>
      <c r="F30" s="19" t="s">
        <v>110</v>
      </c>
      <c r="G30" s="19" t="s">
        <v>27</v>
      </c>
      <c r="H30" s="1"/>
    </row>
    <row r="31" spans="1:8" ht="17.25" customHeight="1" x14ac:dyDescent="0.15">
      <c r="C31" s="66" t="s">
        <v>28</v>
      </c>
      <c r="D31" s="67"/>
      <c r="E31" s="12" t="s">
        <v>109</v>
      </c>
      <c r="F31" s="15" t="s">
        <v>111</v>
      </c>
      <c r="G31" s="15" t="s">
        <v>29</v>
      </c>
      <c r="H31" s="1"/>
    </row>
    <row r="32" spans="1:8" ht="17.25" customHeight="1" x14ac:dyDescent="0.15">
      <c r="C32" s="66" t="s">
        <v>30</v>
      </c>
      <c r="D32" s="67"/>
      <c r="E32" s="12" t="s">
        <v>108</v>
      </c>
      <c r="F32" s="15" t="s">
        <v>32</v>
      </c>
      <c r="G32" s="15" t="s">
        <v>31</v>
      </c>
      <c r="H32" s="1"/>
    </row>
    <row r="33" spans="1:8" ht="17.25" customHeight="1" x14ac:dyDescent="0.15">
      <c r="C33" s="66"/>
      <c r="D33" s="67"/>
      <c r="E33" s="15" t="s">
        <v>116</v>
      </c>
      <c r="F33" s="15" t="s">
        <v>35</v>
      </c>
      <c r="G33" s="15" t="s">
        <v>33</v>
      </c>
      <c r="H33" s="1"/>
    </row>
    <row r="34" spans="1:8" ht="17.25" customHeight="1" x14ac:dyDescent="0.15">
      <c r="C34" s="66"/>
      <c r="D34" s="67"/>
      <c r="E34" s="15" t="s">
        <v>34</v>
      </c>
      <c r="F34" s="15" t="s">
        <v>37</v>
      </c>
      <c r="G34" s="12" t="s">
        <v>121</v>
      </c>
      <c r="H34" s="1"/>
    </row>
    <row r="35" spans="1:8" ht="17.25" customHeight="1" x14ac:dyDescent="0.15">
      <c r="C35" s="66"/>
      <c r="D35" s="67"/>
      <c r="E35" s="15" t="s">
        <v>36</v>
      </c>
      <c r="F35" s="15" t="s">
        <v>38</v>
      </c>
      <c r="G35" s="12" t="s">
        <v>122</v>
      </c>
      <c r="H35" s="1"/>
    </row>
    <row r="36" spans="1:8" ht="17.25" customHeight="1" x14ac:dyDescent="0.15">
      <c r="C36" s="16"/>
      <c r="D36" s="17"/>
      <c r="E36" s="15"/>
      <c r="F36" s="15" t="s">
        <v>165</v>
      </c>
      <c r="G36" s="12"/>
      <c r="H36" s="18"/>
    </row>
    <row r="37" spans="1:8" ht="17.25" customHeight="1" x14ac:dyDescent="0.15">
      <c r="C37" s="69"/>
      <c r="D37" s="70"/>
      <c r="E37" s="15" t="s">
        <v>117</v>
      </c>
      <c r="F37" s="15" t="s">
        <v>166</v>
      </c>
      <c r="G37" s="15"/>
      <c r="H37" s="1"/>
    </row>
    <row r="38" spans="1:8" ht="18.75" customHeight="1" x14ac:dyDescent="0.15">
      <c r="B38" s="2"/>
    </row>
    <row r="39" spans="1:8" ht="23.25" customHeight="1" x14ac:dyDescent="0.15">
      <c r="A39" s="23" t="s">
        <v>39</v>
      </c>
      <c r="B39" s="23" t="s">
        <v>40</v>
      </c>
      <c r="C39" s="23" t="s">
        <v>41</v>
      </c>
      <c r="D39" s="23" t="s">
        <v>192</v>
      </c>
      <c r="E39" s="23" t="s">
        <v>42</v>
      </c>
      <c r="F39" s="23" t="s">
        <v>43</v>
      </c>
      <c r="G39" s="23" t="s">
        <v>44</v>
      </c>
      <c r="H39" s="23" t="s">
        <v>16</v>
      </c>
    </row>
    <row r="40" spans="1:8" ht="17.25" customHeight="1" x14ac:dyDescent="0.15">
      <c r="A40" s="24">
        <f>A41-B40</f>
        <v>0.70138888888888884</v>
      </c>
      <c r="B40" s="25">
        <v>2.0833333333333332E-2</v>
      </c>
      <c r="C40" s="26"/>
      <c r="D40" s="26"/>
      <c r="E40" s="27"/>
      <c r="F40" s="27" t="s">
        <v>45</v>
      </c>
      <c r="G40" s="26"/>
      <c r="H40" s="26"/>
    </row>
    <row r="41" spans="1:8" x14ac:dyDescent="0.15">
      <c r="A41" s="24">
        <f>A42-B41</f>
        <v>0.72222222222222221</v>
      </c>
      <c r="B41" s="25">
        <v>3.472222222222222E-3</v>
      </c>
      <c r="C41" s="26"/>
      <c r="D41" s="26"/>
      <c r="E41" s="28"/>
      <c r="F41" s="28" t="s">
        <v>152</v>
      </c>
      <c r="G41" s="29"/>
      <c r="H41" s="26"/>
    </row>
    <row r="42" spans="1:8" ht="24.75" customHeight="1" x14ac:dyDescent="0.15">
      <c r="A42" s="30">
        <f>A47-B42</f>
        <v>0.72569444444444442</v>
      </c>
      <c r="B42" s="25">
        <v>3.472222222222222E-3</v>
      </c>
      <c r="C42" s="31" t="s">
        <v>194</v>
      </c>
      <c r="D42" s="32" t="s">
        <v>193</v>
      </c>
      <c r="E42" s="33" t="s">
        <v>46</v>
      </c>
      <c r="F42" s="33"/>
      <c r="G42" s="34" t="s">
        <v>112</v>
      </c>
      <c r="H42" s="32" t="s">
        <v>188</v>
      </c>
    </row>
    <row r="43" spans="1:8" ht="24.75" customHeight="1" x14ac:dyDescent="0.15">
      <c r="A43" s="35"/>
      <c r="B43" s="33"/>
      <c r="C43" s="33"/>
      <c r="D43" s="32" t="s">
        <v>193</v>
      </c>
      <c r="E43" s="33" t="s">
        <v>47</v>
      </c>
      <c r="F43" s="33"/>
      <c r="G43" s="33" t="s">
        <v>48</v>
      </c>
      <c r="H43" s="32"/>
    </row>
    <row r="44" spans="1:8" ht="24" x14ac:dyDescent="0.15">
      <c r="A44" s="35"/>
      <c r="B44" s="33"/>
      <c r="C44" s="33"/>
      <c r="D44" s="32" t="s">
        <v>193</v>
      </c>
      <c r="E44" s="33" t="s">
        <v>49</v>
      </c>
      <c r="F44" s="33"/>
      <c r="G44" s="33"/>
      <c r="H44" s="32"/>
    </row>
    <row r="45" spans="1:8" ht="24" x14ac:dyDescent="0.15">
      <c r="A45" s="35"/>
      <c r="B45" s="33"/>
      <c r="C45" s="33"/>
      <c r="D45" s="32"/>
      <c r="E45" s="36"/>
      <c r="F45" s="48" t="s">
        <v>153</v>
      </c>
      <c r="G45" s="33" t="s">
        <v>154</v>
      </c>
      <c r="H45" s="32"/>
    </row>
    <row r="46" spans="1:8" ht="12.75" customHeight="1" x14ac:dyDescent="0.15">
      <c r="A46" s="35"/>
      <c r="B46" s="37"/>
      <c r="C46" s="33"/>
      <c r="D46" s="32"/>
      <c r="E46" s="36"/>
      <c r="F46" s="36"/>
      <c r="G46" s="33"/>
      <c r="H46" s="32"/>
    </row>
    <row r="47" spans="1:8" ht="48" x14ac:dyDescent="0.15">
      <c r="A47" s="30">
        <v>0.72916666666666663</v>
      </c>
      <c r="B47" s="37">
        <v>6.9444444444444447E-4</v>
      </c>
      <c r="C47" s="33" t="s">
        <v>163</v>
      </c>
      <c r="D47" s="32" t="s">
        <v>193</v>
      </c>
      <c r="E47" s="38" t="s">
        <v>172</v>
      </c>
      <c r="F47" s="39"/>
      <c r="G47" s="49" t="s">
        <v>167</v>
      </c>
      <c r="H47" s="32" t="s">
        <v>188</v>
      </c>
    </row>
    <row r="48" spans="1:8" ht="17.25" customHeight="1" x14ac:dyDescent="0.15">
      <c r="A48" s="35"/>
      <c r="B48" s="33"/>
      <c r="C48" s="33"/>
      <c r="D48" s="32"/>
      <c r="E48" s="36"/>
      <c r="F48" s="36"/>
      <c r="G48" s="33"/>
      <c r="H48" s="32"/>
    </row>
    <row r="49" spans="1:8" ht="24" x14ac:dyDescent="0.15">
      <c r="A49" s="35"/>
      <c r="B49" s="33"/>
      <c r="C49" s="33"/>
      <c r="D49" s="32"/>
      <c r="E49" s="36"/>
      <c r="F49" s="36"/>
      <c r="G49" s="33" t="s">
        <v>50</v>
      </c>
      <c r="H49" s="32"/>
    </row>
    <row r="50" spans="1:8" ht="23.25" customHeight="1" x14ac:dyDescent="0.15">
      <c r="A50" s="23" t="s">
        <v>39</v>
      </c>
      <c r="B50" s="23" t="s">
        <v>40</v>
      </c>
      <c r="C50" s="23" t="s">
        <v>41</v>
      </c>
      <c r="D50" s="23" t="s">
        <v>192</v>
      </c>
      <c r="E50" s="23" t="s">
        <v>42</v>
      </c>
      <c r="F50" s="23" t="s">
        <v>43</v>
      </c>
      <c r="G50" s="23" t="s">
        <v>44</v>
      </c>
      <c r="H50" s="23" t="s">
        <v>16</v>
      </c>
    </row>
    <row r="51" spans="1:8" ht="17.25" customHeight="1" x14ac:dyDescent="0.15">
      <c r="A51" s="35"/>
      <c r="B51" s="33"/>
      <c r="C51" s="33"/>
      <c r="D51" s="32"/>
      <c r="E51" s="33" t="s">
        <v>51</v>
      </c>
      <c r="F51" s="33"/>
      <c r="G51" s="33"/>
      <c r="H51" s="32"/>
    </row>
    <row r="52" spans="1:8" ht="17.25" customHeight="1" x14ac:dyDescent="0.15">
      <c r="A52" s="30">
        <f>A47+B47</f>
        <v>0.72986111111111107</v>
      </c>
      <c r="B52" s="37">
        <v>6.9444444444444447E-4</v>
      </c>
      <c r="C52" s="33" t="s">
        <v>52</v>
      </c>
      <c r="D52" s="32" t="s">
        <v>193</v>
      </c>
      <c r="E52" s="33" t="s">
        <v>187</v>
      </c>
      <c r="F52" s="33"/>
      <c r="G52" s="33"/>
      <c r="H52" s="32" t="s">
        <v>188</v>
      </c>
    </row>
    <row r="53" spans="1:8" ht="17.25" customHeight="1" x14ac:dyDescent="0.15">
      <c r="A53" s="30">
        <f>A52+B52</f>
        <v>0.73055555555555551</v>
      </c>
      <c r="B53" s="37">
        <v>1.3888888888888889E-3</v>
      </c>
      <c r="C53" s="33" t="s">
        <v>53</v>
      </c>
      <c r="D53" s="32" t="s">
        <v>193</v>
      </c>
      <c r="E53" s="33" t="s">
        <v>54</v>
      </c>
      <c r="F53" s="33" t="s">
        <v>113</v>
      </c>
      <c r="G53" s="34"/>
      <c r="H53" s="32" t="s">
        <v>188</v>
      </c>
    </row>
    <row r="54" spans="1:8" ht="17.25" customHeight="1" x14ac:dyDescent="0.15">
      <c r="A54" s="30">
        <f>A53+B53</f>
        <v>0.7319444444444444</v>
      </c>
      <c r="B54" s="37">
        <v>1.3888888888888889E-3</v>
      </c>
      <c r="C54" s="33" t="s">
        <v>55</v>
      </c>
      <c r="D54" s="32" t="s">
        <v>193</v>
      </c>
      <c r="E54" s="33" t="s">
        <v>56</v>
      </c>
      <c r="F54" s="33"/>
      <c r="G54" s="34"/>
      <c r="H54" s="32" t="s">
        <v>188</v>
      </c>
    </row>
    <row r="55" spans="1:8" ht="17.25" customHeight="1" x14ac:dyDescent="0.15">
      <c r="A55" s="30">
        <f>A54+B54</f>
        <v>0.73333333333333328</v>
      </c>
      <c r="B55" s="37">
        <v>6.9444444444444447E-4</v>
      </c>
      <c r="C55" s="33" t="s">
        <v>57</v>
      </c>
      <c r="D55" s="32" t="s">
        <v>170</v>
      </c>
      <c r="E55" s="33" t="s">
        <v>156</v>
      </c>
      <c r="F55" s="33"/>
      <c r="G55" s="33"/>
      <c r="H55" s="32" t="s">
        <v>188</v>
      </c>
    </row>
    <row r="56" spans="1:8" ht="24" x14ac:dyDescent="0.15">
      <c r="A56" s="30">
        <f>A55+B55</f>
        <v>0.73402777777777772</v>
      </c>
      <c r="B56" s="37">
        <v>6.9444444444444447E-4</v>
      </c>
      <c r="C56" s="33" t="s">
        <v>58</v>
      </c>
      <c r="D56" s="32" t="s">
        <v>185</v>
      </c>
      <c r="E56" s="33" t="s">
        <v>157</v>
      </c>
      <c r="F56" s="33"/>
      <c r="G56" s="33"/>
      <c r="H56" s="32" t="s">
        <v>188</v>
      </c>
    </row>
    <row r="57" spans="1:8" ht="24" x14ac:dyDescent="0.15">
      <c r="A57" s="30">
        <f>A56+B56</f>
        <v>0.73472222222222217</v>
      </c>
      <c r="B57" s="37">
        <v>6.9444444444444447E-4</v>
      </c>
      <c r="C57" s="33" t="s">
        <v>59</v>
      </c>
      <c r="D57" s="32" t="s">
        <v>196</v>
      </c>
      <c r="E57" s="33" t="s">
        <v>158</v>
      </c>
      <c r="F57" s="33"/>
      <c r="G57" s="33"/>
      <c r="H57" s="32" t="s">
        <v>188</v>
      </c>
    </row>
    <row r="58" spans="1:8" ht="17.25" customHeight="1" x14ac:dyDescent="0.15">
      <c r="A58" s="35"/>
      <c r="B58" s="33"/>
      <c r="C58" s="33"/>
      <c r="D58" s="32" t="s">
        <v>193</v>
      </c>
      <c r="E58" s="33" t="s">
        <v>60</v>
      </c>
      <c r="F58" s="33"/>
      <c r="G58" s="33"/>
      <c r="H58" s="32" t="s">
        <v>188</v>
      </c>
    </row>
    <row r="59" spans="1:8" ht="17.25" customHeight="1" x14ac:dyDescent="0.15">
      <c r="A59" s="55"/>
      <c r="B59" s="55"/>
      <c r="C59" s="58" t="s">
        <v>61</v>
      </c>
      <c r="D59" s="32" t="s">
        <v>193</v>
      </c>
      <c r="E59" s="33" t="s">
        <v>62</v>
      </c>
      <c r="F59" s="33"/>
      <c r="G59" s="68"/>
      <c r="H59" s="32" t="s">
        <v>188</v>
      </c>
    </row>
    <row r="60" spans="1:8" ht="17.25" customHeight="1" x14ac:dyDescent="0.15">
      <c r="A60" s="55"/>
      <c r="B60" s="57"/>
      <c r="C60" s="58"/>
      <c r="D60" s="32"/>
      <c r="E60" s="36" t="s">
        <v>63</v>
      </c>
      <c r="F60" s="36" t="s">
        <v>203</v>
      </c>
      <c r="G60" s="68"/>
      <c r="H60" s="32"/>
    </row>
    <row r="61" spans="1:8" ht="17.25" customHeight="1" x14ac:dyDescent="0.15">
      <c r="A61" s="55"/>
      <c r="B61" s="57"/>
      <c r="C61" s="58"/>
      <c r="D61" s="32"/>
      <c r="E61" s="36" t="s">
        <v>123</v>
      </c>
      <c r="F61" s="36" t="s">
        <v>203</v>
      </c>
      <c r="G61" s="68"/>
      <c r="H61" s="32"/>
    </row>
    <row r="62" spans="1:8" ht="17.25" customHeight="1" x14ac:dyDescent="0.15">
      <c r="A62" s="56"/>
      <c r="B62" s="57"/>
      <c r="C62" s="58"/>
      <c r="D62" s="32"/>
      <c r="E62" s="36" t="s">
        <v>124</v>
      </c>
      <c r="F62" s="36" t="s">
        <v>203</v>
      </c>
      <c r="G62" s="68"/>
      <c r="H62" s="32"/>
    </row>
    <row r="63" spans="1:8" ht="17.25" customHeight="1" x14ac:dyDescent="0.15">
      <c r="A63" s="30">
        <f>A57+B57</f>
        <v>0.73541666666666661</v>
      </c>
      <c r="B63" s="37">
        <v>5.5555555555555558E-3</v>
      </c>
      <c r="C63" s="33" t="s">
        <v>64</v>
      </c>
      <c r="D63" s="32" t="s">
        <v>193</v>
      </c>
      <c r="E63" s="33" t="s">
        <v>125</v>
      </c>
      <c r="F63" s="33"/>
      <c r="G63" s="33"/>
      <c r="H63" s="32" t="s">
        <v>188</v>
      </c>
    </row>
    <row r="64" spans="1:8" ht="17.25" customHeight="1" x14ac:dyDescent="0.15">
      <c r="A64" s="30">
        <f>A63+B63</f>
        <v>0.74097222222222214</v>
      </c>
      <c r="B64" s="37">
        <v>4.1666666666666666E-3</v>
      </c>
      <c r="C64" s="33" t="s">
        <v>65</v>
      </c>
      <c r="D64" s="32" t="s">
        <v>193</v>
      </c>
      <c r="E64" s="33" t="s">
        <v>126</v>
      </c>
      <c r="F64" s="33"/>
      <c r="G64" s="33"/>
      <c r="H64" s="32" t="s">
        <v>188</v>
      </c>
    </row>
    <row r="65" spans="1:8" ht="17.25" customHeight="1" x14ac:dyDescent="0.15">
      <c r="A65" s="30">
        <f>A64+B64</f>
        <v>0.7451388888888888</v>
      </c>
      <c r="B65" s="37">
        <v>4.1666666666666666E-3</v>
      </c>
      <c r="C65" s="33" t="s">
        <v>66</v>
      </c>
      <c r="D65" s="32" t="s">
        <v>193</v>
      </c>
      <c r="E65" s="33" t="s">
        <v>127</v>
      </c>
      <c r="F65" s="33"/>
      <c r="G65" s="33"/>
      <c r="H65" s="32" t="s">
        <v>188</v>
      </c>
    </row>
    <row r="66" spans="1:8" ht="101.25" customHeight="1" x14ac:dyDescent="0.15">
      <c r="A66" s="30">
        <f>A65+B65</f>
        <v>0.74930555555555545</v>
      </c>
      <c r="B66" s="37">
        <v>6.9444444444444447E-4</v>
      </c>
      <c r="C66" s="33" t="s">
        <v>67</v>
      </c>
      <c r="D66" s="32" t="s">
        <v>193</v>
      </c>
      <c r="E66" s="40" t="s">
        <v>129</v>
      </c>
      <c r="F66" s="40" t="s">
        <v>189</v>
      </c>
      <c r="G66" s="34" t="s">
        <v>68</v>
      </c>
      <c r="H66" s="32" t="s">
        <v>188</v>
      </c>
    </row>
    <row r="67" spans="1:8" ht="24" x14ac:dyDescent="0.15">
      <c r="A67" s="35"/>
      <c r="B67" s="33"/>
      <c r="C67" s="33"/>
      <c r="D67" s="32" t="s">
        <v>193</v>
      </c>
      <c r="E67" s="33" t="s">
        <v>128</v>
      </c>
      <c r="F67" s="33"/>
      <c r="G67" s="33"/>
      <c r="H67" s="32" t="s">
        <v>188</v>
      </c>
    </row>
    <row r="68" spans="1:8" ht="36" x14ac:dyDescent="0.15">
      <c r="A68" s="30">
        <f>A66+B66</f>
        <v>0.74999999999999989</v>
      </c>
      <c r="B68" s="37">
        <v>2.0833333333333333E-3</v>
      </c>
      <c r="C68" s="33" t="s">
        <v>69</v>
      </c>
      <c r="D68" s="32" t="s">
        <v>195</v>
      </c>
      <c r="E68" s="33" t="s">
        <v>70</v>
      </c>
      <c r="F68" s="33"/>
      <c r="G68" s="34" t="s">
        <v>71</v>
      </c>
      <c r="H68" s="32" t="s">
        <v>188</v>
      </c>
    </row>
    <row r="69" spans="1:8" ht="17.25" customHeight="1" x14ac:dyDescent="0.15">
      <c r="A69" s="35"/>
      <c r="B69" s="33"/>
      <c r="C69" s="33" t="s">
        <v>72</v>
      </c>
      <c r="D69" s="32" t="s">
        <v>193</v>
      </c>
      <c r="E69" s="33" t="s">
        <v>130</v>
      </c>
      <c r="F69" s="33"/>
      <c r="G69" s="33"/>
      <c r="H69" s="32" t="s">
        <v>188</v>
      </c>
    </row>
    <row r="70" spans="1:8" ht="17.25" customHeight="1" x14ac:dyDescent="0.15">
      <c r="A70" s="35"/>
      <c r="B70" s="33"/>
      <c r="C70" s="33"/>
      <c r="D70" s="32"/>
      <c r="E70" s="33"/>
      <c r="F70" s="33"/>
      <c r="G70" s="33"/>
      <c r="H70" s="32"/>
    </row>
    <row r="71" spans="1:8" ht="24" x14ac:dyDescent="0.15">
      <c r="A71" s="35"/>
      <c r="B71" s="33"/>
      <c r="C71" s="33"/>
      <c r="D71" s="32" t="s">
        <v>193</v>
      </c>
      <c r="E71" s="33" t="s">
        <v>131</v>
      </c>
      <c r="F71" s="33"/>
      <c r="G71" s="33"/>
      <c r="H71" s="32" t="s">
        <v>188</v>
      </c>
    </row>
    <row r="72" spans="1:8" x14ac:dyDescent="0.15">
      <c r="A72" s="30">
        <f>A68+B68</f>
        <v>0.75208333333333321</v>
      </c>
      <c r="B72" s="37">
        <v>1.3888888888888889E-3</v>
      </c>
      <c r="C72" s="33" t="s">
        <v>69</v>
      </c>
      <c r="D72" s="32" t="s">
        <v>195</v>
      </c>
      <c r="E72" s="33" t="s">
        <v>70</v>
      </c>
      <c r="F72" s="33"/>
      <c r="G72" s="34"/>
      <c r="H72" s="32" t="s">
        <v>188</v>
      </c>
    </row>
    <row r="73" spans="1:8" ht="17.25" customHeight="1" x14ac:dyDescent="0.15">
      <c r="A73" s="35"/>
      <c r="B73" s="33"/>
      <c r="C73" s="33" t="s">
        <v>73</v>
      </c>
      <c r="D73" s="32" t="s">
        <v>193</v>
      </c>
      <c r="E73" s="33" t="s">
        <v>132</v>
      </c>
      <c r="F73" s="33"/>
      <c r="G73" s="33"/>
      <c r="H73" s="32" t="s">
        <v>188</v>
      </c>
    </row>
    <row r="74" spans="1:8" ht="17.25" customHeight="1" x14ac:dyDescent="0.15">
      <c r="A74" s="35"/>
      <c r="B74" s="33"/>
      <c r="C74" s="33"/>
      <c r="D74" s="32"/>
      <c r="E74" s="33"/>
      <c r="F74" s="33"/>
      <c r="G74" s="33"/>
      <c r="H74" s="32"/>
    </row>
    <row r="75" spans="1:8" ht="17.25" customHeight="1" x14ac:dyDescent="0.15">
      <c r="A75" s="30">
        <f>A72+B72</f>
        <v>0.7534722222222221</v>
      </c>
      <c r="B75" s="37">
        <v>6.9444444444444447E-4</v>
      </c>
      <c r="C75" s="33" t="s">
        <v>74</v>
      </c>
      <c r="D75" s="32" t="s">
        <v>193</v>
      </c>
      <c r="E75" s="33" t="s">
        <v>198</v>
      </c>
      <c r="F75" s="33"/>
      <c r="G75" s="33"/>
      <c r="H75" s="32" t="s">
        <v>188</v>
      </c>
    </row>
    <row r="76" spans="1:8" ht="36" x14ac:dyDescent="0.15">
      <c r="A76" s="35"/>
      <c r="B76" s="33"/>
      <c r="C76" s="35"/>
      <c r="D76" s="32" t="s">
        <v>197</v>
      </c>
      <c r="E76" s="36" t="s">
        <v>209</v>
      </c>
      <c r="F76" s="36"/>
      <c r="G76" s="33" t="s">
        <v>134</v>
      </c>
      <c r="H76" s="32" t="s">
        <v>188</v>
      </c>
    </row>
    <row r="77" spans="1:8" ht="17.25" customHeight="1" x14ac:dyDescent="0.15">
      <c r="A77" s="35"/>
      <c r="B77" s="33"/>
      <c r="C77" s="35"/>
      <c r="D77" s="32" t="s">
        <v>197</v>
      </c>
      <c r="E77" s="36" t="s">
        <v>75</v>
      </c>
      <c r="F77" s="36"/>
      <c r="G77" s="33" t="s">
        <v>76</v>
      </c>
      <c r="H77" s="32" t="s">
        <v>188</v>
      </c>
    </row>
    <row r="78" spans="1:8" ht="17.25" customHeight="1" x14ac:dyDescent="0.15">
      <c r="A78" s="30">
        <f>A75+B75</f>
        <v>0.75416666666666654</v>
      </c>
      <c r="B78" s="37">
        <v>6.9444444444444447E-4</v>
      </c>
      <c r="C78" s="33" t="s">
        <v>77</v>
      </c>
      <c r="D78" s="32" t="s">
        <v>193</v>
      </c>
      <c r="E78" s="33" t="s">
        <v>78</v>
      </c>
      <c r="F78" s="33"/>
      <c r="G78" s="33"/>
      <c r="H78" s="32" t="s">
        <v>188</v>
      </c>
    </row>
    <row r="79" spans="1:8" x14ac:dyDescent="0.15">
      <c r="A79" s="35"/>
      <c r="B79" s="33"/>
      <c r="C79" s="33"/>
      <c r="D79" s="32"/>
      <c r="E79" s="41"/>
      <c r="F79" s="41" t="s">
        <v>159</v>
      </c>
      <c r="G79" s="33" t="s">
        <v>190</v>
      </c>
      <c r="H79" s="32"/>
    </row>
    <row r="80" spans="1:8" ht="24" x14ac:dyDescent="0.15">
      <c r="A80" s="35"/>
      <c r="B80" s="33"/>
      <c r="C80" s="33"/>
      <c r="D80" s="32"/>
      <c r="E80" s="33"/>
      <c r="F80" s="33"/>
      <c r="G80" s="42" t="s">
        <v>191</v>
      </c>
      <c r="H80" s="32"/>
    </row>
    <row r="81" spans="1:8" ht="17.25" customHeight="1" x14ac:dyDescent="0.15">
      <c r="A81" s="30"/>
      <c r="B81" s="37"/>
      <c r="C81" s="33" t="s">
        <v>79</v>
      </c>
      <c r="D81" s="32"/>
      <c r="E81" s="36" t="s">
        <v>80</v>
      </c>
      <c r="F81" s="36"/>
      <c r="G81" s="33"/>
      <c r="H81" s="32"/>
    </row>
    <row r="82" spans="1:8" ht="24" x14ac:dyDescent="0.15">
      <c r="A82" s="35"/>
      <c r="B82" s="33"/>
      <c r="C82" s="33"/>
      <c r="D82" s="43" t="s">
        <v>199</v>
      </c>
      <c r="E82" s="36" t="s">
        <v>114</v>
      </c>
      <c r="F82" s="44"/>
      <c r="G82" s="33"/>
      <c r="H82" s="32" t="s">
        <v>188</v>
      </c>
    </row>
    <row r="83" spans="1:8" ht="17.25" customHeight="1" x14ac:dyDescent="0.15">
      <c r="A83" s="30">
        <f>A78+B78</f>
        <v>0.75486111111111098</v>
      </c>
      <c r="B83" s="37">
        <v>3.472222222222222E-3</v>
      </c>
      <c r="C83" s="45" t="s">
        <v>81</v>
      </c>
      <c r="D83" s="43" t="s">
        <v>199</v>
      </c>
      <c r="E83" s="36" t="s">
        <v>135</v>
      </c>
      <c r="F83" s="44"/>
      <c r="G83" s="33"/>
      <c r="H83" s="32" t="s">
        <v>188</v>
      </c>
    </row>
    <row r="84" spans="1:8" ht="17.25" customHeight="1" x14ac:dyDescent="0.15">
      <c r="A84" s="35"/>
      <c r="B84" s="33"/>
      <c r="C84" s="33"/>
      <c r="D84" s="43" t="s">
        <v>199</v>
      </c>
      <c r="E84" s="36" t="s">
        <v>82</v>
      </c>
      <c r="F84" s="44"/>
      <c r="G84" s="33"/>
      <c r="H84" s="32" t="s">
        <v>188</v>
      </c>
    </row>
    <row r="85" spans="1:8" ht="36" x14ac:dyDescent="0.15">
      <c r="A85" s="35"/>
      <c r="B85" s="33"/>
      <c r="C85" s="33"/>
      <c r="D85" s="32" t="s">
        <v>197</v>
      </c>
      <c r="E85" s="36" t="s">
        <v>204</v>
      </c>
      <c r="F85" s="44"/>
      <c r="G85" s="33"/>
      <c r="H85" s="32" t="s">
        <v>188</v>
      </c>
    </row>
    <row r="86" spans="1:8" ht="24" x14ac:dyDescent="0.15">
      <c r="A86" s="35"/>
      <c r="B86" s="33"/>
      <c r="C86" s="33"/>
      <c r="D86" s="43" t="s">
        <v>199</v>
      </c>
      <c r="E86" s="36" t="s">
        <v>205</v>
      </c>
      <c r="F86" s="44"/>
      <c r="G86" s="33"/>
      <c r="H86" s="32" t="s">
        <v>188</v>
      </c>
    </row>
    <row r="87" spans="1:8" ht="24" x14ac:dyDescent="0.15">
      <c r="A87" s="35"/>
      <c r="B87" s="33"/>
      <c r="C87" s="31"/>
      <c r="D87" s="32" t="s">
        <v>151</v>
      </c>
      <c r="E87" s="36" t="s">
        <v>206</v>
      </c>
      <c r="F87" s="36"/>
      <c r="G87" s="33"/>
      <c r="H87" s="32" t="s">
        <v>188</v>
      </c>
    </row>
    <row r="88" spans="1:8" ht="48" x14ac:dyDescent="0.15">
      <c r="A88" s="35"/>
      <c r="B88" s="33"/>
      <c r="C88" s="33" t="s">
        <v>83</v>
      </c>
      <c r="D88" s="43" t="s">
        <v>199</v>
      </c>
      <c r="E88" s="36" t="s">
        <v>136</v>
      </c>
      <c r="F88" s="44"/>
      <c r="G88" s="33" t="s">
        <v>142</v>
      </c>
      <c r="H88" s="32" t="s">
        <v>188</v>
      </c>
    </row>
    <row r="89" spans="1:8" ht="48" x14ac:dyDescent="0.15">
      <c r="A89" s="35"/>
      <c r="B89" s="33"/>
      <c r="C89" s="32"/>
      <c r="D89" s="43" t="s">
        <v>199</v>
      </c>
      <c r="E89" s="44" t="s">
        <v>84</v>
      </c>
      <c r="F89" s="44"/>
      <c r="G89" s="15"/>
      <c r="H89" s="32" t="s">
        <v>188</v>
      </c>
    </row>
    <row r="90" spans="1:8" x14ac:dyDescent="0.15">
      <c r="A90" s="35"/>
      <c r="B90" s="33"/>
      <c r="C90" s="32"/>
      <c r="D90" s="32"/>
      <c r="E90" s="44"/>
      <c r="F90" s="44"/>
      <c r="G90" s="15"/>
      <c r="H90" s="32"/>
    </row>
    <row r="91" spans="1:8" ht="23.25" customHeight="1" x14ac:dyDescent="0.15">
      <c r="A91" s="23" t="s">
        <v>39</v>
      </c>
      <c r="B91" s="23" t="s">
        <v>40</v>
      </c>
      <c r="C91" s="23" t="s">
        <v>41</v>
      </c>
      <c r="D91" s="23" t="s">
        <v>192</v>
      </c>
      <c r="E91" s="23" t="s">
        <v>42</v>
      </c>
      <c r="F91" s="23" t="s">
        <v>43</v>
      </c>
      <c r="G91" s="23" t="s">
        <v>44</v>
      </c>
      <c r="H91" s="23" t="s">
        <v>16</v>
      </c>
    </row>
    <row r="92" spans="1:8" ht="17.25" customHeight="1" x14ac:dyDescent="0.15">
      <c r="A92" s="30">
        <f>A83+B83</f>
        <v>0.75833333333333319</v>
      </c>
      <c r="B92" s="37">
        <v>3.472222222222222E-3</v>
      </c>
      <c r="C92" s="45" t="s">
        <v>85</v>
      </c>
      <c r="D92" s="43" t="s">
        <v>199</v>
      </c>
      <c r="E92" s="36" t="s">
        <v>137</v>
      </c>
      <c r="F92" s="44"/>
      <c r="G92" s="15"/>
      <c r="H92" s="32" t="s">
        <v>188</v>
      </c>
    </row>
    <row r="93" spans="1:8" ht="17.25" customHeight="1" x14ac:dyDescent="0.15">
      <c r="A93" s="35"/>
      <c r="B93" s="33"/>
      <c r="C93" s="33"/>
      <c r="D93" s="43" t="s">
        <v>199</v>
      </c>
      <c r="E93" s="36" t="s">
        <v>86</v>
      </c>
      <c r="F93" s="44"/>
      <c r="G93" s="15"/>
      <c r="H93" s="32" t="s">
        <v>188</v>
      </c>
    </row>
    <row r="94" spans="1:8" ht="24" x14ac:dyDescent="0.15">
      <c r="A94" s="35"/>
      <c r="B94" s="33"/>
      <c r="C94" s="33"/>
      <c r="D94" s="32" t="s">
        <v>197</v>
      </c>
      <c r="E94" s="36" t="s">
        <v>138</v>
      </c>
      <c r="F94" s="44"/>
      <c r="G94" s="33"/>
      <c r="H94" s="32" t="s">
        <v>188</v>
      </c>
    </row>
    <row r="95" spans="1:8" ht="17.25" customHeight="1" x14ac:dyDescent="0.15">
      <c r="A95" s="35"/>
      <c r="B95" s="33"/>
      <c r="C95" s="33"/>
      <c r="D95" s="43" t="s">
        <v>199</v>
      </c>
      <c r="E95" s="36" t="s">
        <v>139</v>
      </c>
      <c r="F95" s="44"/>
      <c r="G95" s="33"/>
      <c r="H95" s="32" t="s">
        <v>188</v>
      </c>
    </row>
    <row r="96" spans="1:8" ht="17.25" customHeight="1" x14ac:dyDescent="0.15">
      <c r="A96" s="35"/>
      <c r="B96" s="33"/>
      <c r="C96" s="33"/>
      <c r="D96" s="32" t="s">
        <v>200</v>
      </c>
      <c r="E96" s="44" t="s">
        <v>87</v>
      </c>
      <c r="F96" s="44"/>
      <c r="G96" s="33" t="s">
        <v>88</v>
      </c>
      <c r="H96" s="32" t="s">
        <v>188</v>
      </c>
    </row>
    <row r="97" spans="1:8" ht="48" x14ac:dyDescent="0.15">
      <c r="A97" s="35"/>
      <c r="B97" s="33"/>
      <c r="C97" s="33" t="s">
        <v>83</v>
      </c>
      <c r="D97" s="43" t="s">
        <v>199</v>
      </c>
      <c r="E97" s="36" t="s">
        <v>140</v>
      </c>
      <c r="F97" s="44"/>
      <c r="G97" s="33" t="s">
        <v>142</v>
      </c>
      <c r="H97" s="32" t="s">
        <v>188</v>
      </c>
    </row>
    <row r="98" spans="1:8" ht="48" x14ac:dyDescent="0.15">
      <c r="A98" s="35"/>
      <c r="B98" s="33"/>
      <c r="C98" s="33"/>
      <c r="D98" s="43" t="s">
        <v>199</v>
      </c>
      <c r="E98" s="44" t="s">
        <v>84</v>
      </c>
      <c r="F98" s="44"/>
      <c r="G98" s="33"/>
      <c r="H98" s="32" t="s">
        <v>188</v>
      </c>
    </row>
    <row r="99" spans="1:8" x14ac:dyDescent="0.15">
      <c r="A99" s="35"/>
      <c r="B99" s="33"/>
      <c r="C99" s="33"/>
      <c r="D99" s="32"/>
      <c r="E99" s="44"/>
      <c r="F99" s="44"/>
      <c r="G99" s="33"/>
      <c r="H99" s="32" t="s">
        <v>188</v>
      </c>
    </row>
    <row r="100" spans="1:8" ht="24" x14ac:dyDescent="0.15">
      <c r="A100" s="30">
        <f>A92+B92</f>
        <v>0.7618055555555554</v>
      </c>
      <c r="B100" s="37">
        <v>6.9444444444444447E-4</v>
      </c>
      <c r="C100" s="33" t="s">
        <v>164</v>
      </c>
      <c r="D100" s="43" t="s">
        <v>199</v>
      </c>
      <c r="E100" s="36" t="s">
        <v>89</v>
      </c>
      <c r="F100" s="36"/>
      <c r="G100" s="33" t="s">
        <v>90</v>
      </c>
      <c r="H100" s="32"/>
    </row>
    <row r="101" spans="1:8" ht="24" x14ac:dyDescent="0.15">
      <c r="A101" s="35"/>
      <c r="B101" s="33"/>
      <c r="C101" s="33"/>
      <c r="D101" s="32"/>
      <c r="E101" s="36"/>
      <c r="F101" s="36" t="s">
        <v>91</v>
      </c>
      <c r="G101" s="50" t="s">
        <v>161</v>
      </c>
      <c r="H101" s="32" t="s">
        <v>188</v>
      </c>
    </row>
    <row r="102" spans="1:8" ht="24" x14ac:dyDescent="0.15">
      <c r="A102" s="30">
        <f>A100+B100</f>
        <v>0.76249999999999984</v>
      </c>
      <c r="B102" s="37">
        <v>6.9444444444444447E-4</v>
      </c>
      <c r="C102" s="33" t="s">
        <v>92</v>
      </c>
      <c r="D102" s="32" t="s">
        <v>193</v>
      </c>
      <c r="E102" s="33" t="s">
        <v>201</v>
      </c>
      <c r="F102" s="33"/>
      <c r="G102" s="33"/>
      <c r="H102" s="32" t="s">
        <v>188</v>
      </c>
    </row>
    <row r="103" spans="1:8" ht="17.25" customHeight="1" x14ac:dyDescent="0.15">
      <c r="A103" s="30">
        <f t="shared" ref="A103:A110" si="0">A102+B102</f>
        <v>0.76319444444444429</v>
      </c>
      <c r="B103" s="37">
        <v>6.9444444444444447E-4</v>
      </c>
      <c r="C103" s="33" t="s">
        <v>93</v>
      </c>
      <c r="D103" s="32" t="s">
        <v>193</v>
      </c>
      <c r="E103" s="33" t="s">
        <v>94</v>
      </c>
      <c r="F103" s="33"/>
      <c r="G103" s="33" t="s">
        <v>95</v>
      </c>
      <c r="H103" s="32" t="s">
        <v>188</v>
      </c>
    </row>
    <row r="104" spans="1:8" ht="24" x14ac:dyDescent="0.15">
      <c r="A104" s="37">
        <f>A103+B103</f>
        <v>0.76388888888888873</v>
      </c>
      <c r="B104" s="37">
        <v>1.3888888888888889E-3</v>
      </c>
      <c r="C104" s="33" t="s">
        <v>96</v>
      </c>
      <c r="D104" s="32" t="s">
        <v>193</v>
      </c>
      <c r="E104" s="33" t="s">
        <v>141</v>
      </c>
      <c r="F104" s="33" t="s">
        <v>97</v>
      </c>
      <c r="G104" s="46" t="s">
        <v>162</v>
      </c>
      <c r="H104" s="32" t="s">
        <v>188</v>
      </c>
    </row>
    <row r="105" spans="1:8" ht="17.25" customHeight="1" x14ac:dyDescent="0.15">
      <c r="A105" s="37"/>
      <c r="B105" s="37"/>
      <c r="C105" s="33"/>
      <c r="D105" s="32" t="s">
        <v>193</v>
      </c>
      <c r="E105" s="33" t="s">
        <v>143</v>
      </c>
      <c r="F105" s="33"/>
      <c r="G105" s="33" t="s">
        <v>98</v>
      </c>
      <c r="H105" s="32" t="s">
        <v>188</v>
      </c>
    </row>
    <row r="106" spans="1:8" ht="17.25" customHeight="1" x14ac:dyDescent="0.15">
      <c r="A106" s="30"/>
      <c r="B106" s="37"/>
      <c r="C106" s="33"/>
      <c r="D106" s="32"/>
      <c r="E106" s="47"/>
      <c r="F106" s="47"/>
      <c r="G106" s="33"/>
      <c r="H106" s="32"/>
    </row>
    <row r="107" spans="1:8" ht="17.25" customHeight="1" x14ac:dyDescent="0.15">
      <c r="A107" s="30">
        <f>A104+B104</f>
        <v>0.76527777777777761</v>
      </c>
      <c r="B107" s="37">
        <v>6.9444444444444447E-4</v>
      </c>
      <c r="C107" s="33" t="s">
        <v>99</v>
      </c>
      <c r="D107" s="32" t="s">
        <v>193</v>
      </c>
      <c r="E107" s="47" t="s">
        <v>115</v>
      </c>
      <c r="F107" s="47"/>
      <c r="G107" s="33"/>
      <c r="H107" s="32" t="s">
        <v>188</v>
      </c>
    </row>
    <row r="108" spans="1:8" ht="17.25" customHeight="1" x14ac:dyDescent="0.15">
      <c r="A108" s="30">
        <f>A107+B107</f>
        <v>0.76597222222222205</v>
      </c>
      <c r="B108" s="37">
        <v>6.9444444444444447E-4</v>
      </c>
      <c r="C108" s="33"/>
      <c r="D108" s="32" t="s">
        <v>193</v>
      </c>
      <c r="E108" s="47" t="s">
        <v>171</v>
      </c>
      <c r="F108" s="47"/>
      <c r="G108" s="33"/>
      <c r="H108" s="32" t="s">
        <v>188</v>
      </c>
    </row>
    <row r="109" spans="1:8" ht="17.25" customHeight="1" x14ac:dyDescent="0.15">
      <c r="A109" s="30">
        <f>A108+B108</f>
        <v>0.7666666666666665</v>
      </c>
      <c r="B109" s="37">
        <v>6.9444444444444447E-4</v>
      </c>
      <c r="C109" s="33" t="s">
        <v>100</v>
      </c>
      <c r="D109" s="32" t="s">
        <v>193</v>
      </c>
      <c r="E109" s="33" t="s">
        <v>202</v>
      </c>
      <c r="F109" s="33"/>
      <c r="G109" s="15"/>
      <c r="H109" s="32" t="s">
        <v>188</v>
      </c>
    </row>
    <row r="110" spans="1:8" ht="17.25" customHeight="1" x14ac:dyDescent="0.15">
      <c r="A110" s="30">
        <f t="shared" si="0"/>
        <v>0.76736111111111094</v>
      </c>
      <c r="B110" s="37"/>
      <c r="C110" s="33" t="s">
        <v>101</v>
      </c>
      <c r="D110" s="32" t="s">
        <v>193</v>
      </c>
      <c r="E110" s="33" t="s">
        <v>102</v>
      </c>
      <c r="F110" s="33"/>
      <c r="G110" s="47"/>
      <c r="H110" s="32" t="s">
        <v>188</v>
      </c>
    </row>
    <row r="111" spans="1:8" ht="17.25" customHeight="1" x14ac:dyDescent="0.15"/>
    <row r="112" spans="1:8" ht="17.25" customHeight="1" x14ac:dyDescent="0.15"/>
    <row r="113" spans="3:8" ht="17.25" customHeight="1" x14ac:dyDescent="0.15">
      <c r="E113" s="1" t="s">
        <v>103</v>
      </c>
    </row>
    <row r="114" spans="3:8" ht="17.25" customHeight="1" x14ac:dyDescent="0.15"/>
    <row r="115" spans="3:8" ht="17.25" customHeight="1" x14ac:dyDescent="0.15"/>
    <row r="116" spans="3:8" ht="17.25" customHeight="1" x14ac:dyDescent="0.15"/>
    <row r="117" spans="3:8" ht="17.25" customHeight="1" x14ac:dyDescent="0.15"/>
    <row r="118" spans="3:8" ht="13.5" x14ac:dyDescent="0.15">
      <c r="C118" s="10"/>
      <c r="D118" s="11"/>
      <c r="E118" s="10"/>
      <c r="F118" s="10"/>
      <c r="H118" s="11"/>
    </row>
    <row r="119" spans="3:8" ht="13.5" x14ac:dyDescent="0.15">
      <c r="C119" s="10"/>
      <c r="D119" s="11"/>
      <c r="E119" s="10"/>
      <c r="F119" s="10"/>
      <c r="H119" s="11"/>
    </row>
  </sheetData>
  <mergeCells count="15">
    <mergeCell ref="A59:A62"/>
    <mergeCell ref="B59:B62"/>
    <mergeCell ref="C59:C62"/>
    <mergeCell ref="A1:G1"/>
    <mergeCell ref="A3:G3"/>
    <mergeCell ref="C28:E28"/>
    <mergeCell ref="C29:D29"/>
    <mergeCell ref="C30:D30"/>
    <mergeCell ref="C31:D31"/>
    <mergeCell ref="G59:G62"/>
    <mergeCell ref="C32:D32"/>
    <mergeCell ref="C33:D33"/>
    <mergeCell ref="C34:D34"/>
    <mergeCell ref="C35:D35"/>
    <mergeCell ref="C37:D37"/>
  </mergeCells>
  <phoneticPr fontId="3"/>
  <printOptions horizontalCentered="1"/>
  <pageMargins left="0.3" right="0.23" top="0.36" bottom="0.16" header="0.19" footer="0"/>
  <pageSetup paperSize="9" scale="64" orientation="landscape" verticalDpi="400" r:id="rId1"/>
  <headerFooter alignWithMargins="0">
    <oddHeader xml:space="preserve">&amp;C&amp;16&amp;K000000 </oddHeader>
  </headerFooter>
  <rowBreaks count="2" manualBreakCount="2">
    <brk id="49" max="7" man="1"/>
    <brk id="90"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20211月通常総会</vt:lpstr>
      <vt:lpstr>20211月ハイブリッド総会</vt:lpstr>
      <vt:lpstr>'20211月ハイブリッド総会'!Print_Area</vt:lpstr>
      <vt:lpstr>'20211月通常総会'!Print_Area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高橋　佑輔</cp:lastModifiedBy>
  <cp:lastPrinted>2021-01-15T01:41:32Z</cp:lastPrinted>
  <dcterms:created xsi:type="dcterms:W3CDTF">2019-12-06T09:22:47Z</dcterms:created>
  <dcterms:modified xsi:type="dcterms:W3CDTF">2021-01-15T01:46:23Z</dcterms:modified>
</cp:coreProperties>
</file>