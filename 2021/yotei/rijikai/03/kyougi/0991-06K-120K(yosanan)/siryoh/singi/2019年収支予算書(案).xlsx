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440" windowHeight="7770"/>
  </bookViews>
  <sheets>
    <sheet name="収支予算書(案)" sheetId="1" r:id="rId1"/>
  </sheets>
  <definedNames>
    <definedName name="_xlnm.Print_Area" localSheetId="0">'収支予算書(案)'!$A$1:$J$92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H5" i="1" l="1"/>
  <c r="H24" i="1" s="1"/>
  <c r="H40" i="1" l="1"/>
  <c r="H39" i="1"/>
  <c r="H37" i="1"/>
  <c r="H36" i="1"/>
  <c r="H35" i="1"/>
  <c r="H34" i="1"/>
  <c r="H33" i="1"/>
  <c r="H32" i="1"/>
  <c r="H31" i="1"/>
  <c r="H30" i="1"/>
  <c r="H84" i="1" l="1"/>
  <c r="E84" i="1"/>
  <c r="H79" i="1"/>
  <c r="E79" i="1"/>
  <c r="H70" i="1"/>
  <c r="E70" i="1"/>
  <c r="H64" i="1"/>
  <c r="E64" i="1"/>
  <c r="H61" i="1"/>
  <c r="E61" i="1"/>
  <c r="H59" i="1"/>
  <c r="E59" i="1"/>
  <c r="H57" i="1"/>
  <c r="E57" i="1"/>
  <c r="H53" i="1"/>
  <c r="E53" i="1"/>
  <c r="H41" i="1"/>
  <c r="E41" i="1"/>
  <c r="D29" i="1"/>
  <c r="C29" i="1"/>
  <c r="B29" i="1"/>
  <c r="A29" i="1"/>
  <c r="H26" i="1"/>
  <c r="E87" i="1" l="1"/>
  <c r="E88" i="1" s="1"/>
  <c r="E26" i="1"/>
  <c r="H87" i="1"/>
  <c r="H89" i="1" s="1"/>
  <c r="E89" i="1" l="1"/>
  <c r="H88" i="1"/>
</calcChain>
</file>

<file path=xl/sharedStrings.xml><?xml version="1.0" encoding="utf-8"?>
<sst xmlns="http://schemas.openxmlformats.org/spreadsheetml/2006/main" count="156" uniqueCount="147">
  <si>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</si>
  <si>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</si>
  <si>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</si>
  <si>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</si>
  <si>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</si>
  <si>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</si>
  <si>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</si>
  <si>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</si>
  <si>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</si>
  <si>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</si>
  <si>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</si>
  <si>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</si>
  <si>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</si>
  <si>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</si>
  <si>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登録費収益(現役)</t>
    <rPh sb="0" eb="2">
      <t>トウロク</t>
    </rPh>
    <rPh sb="2" eb="3">
      <t>ヒ</t>
    </rPh>
    <rPh sb="3" eb="5">
      <t>シュウエキ</t>
    </rPh>
    <rPh sb="6" eb="8">
      <t>ゲンエキ</t>
    </rPh>
    <phoneticPr fontId="4"/>
  </si>
  <si>
    <t>登録費収益(他LOM)</t>
    <rPh sb="0" eb="2">
      <t>トウロク</t>
    </rPh>
    <rPh sb="2" eb="3">
      <t>ヒ</t>
    </rPh>
    <rPh sb="3" eb="5">
      <t>シュウエキ</t>
    </rPh>
    <rPh sb="6" eb="7">
      <t>ホカ</t>
    </rPh>
    <phoneticPr fontId="4"/>
  </si>
  <si>
    <t>広告料収益</t>
    <rPh sb="0" eb="3">
      <t>コウコクリョウ</t>
    </rPh>
    <rPh sb="3" eb="5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</si>
  <si>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</si>
  <si>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</si>
  <si>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</si>
  <si>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</si>
  <si>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受取寄付金</t>
    <rPh sb="0" eb="2">
      <t>ウケトリ</t>
    </rPh>
    <rPh sb="2" eb="5">
      <t>キフキン</t>
    </rPh>
    <phoneticPr fontId="4"/>
  </si>
  <si>
    <t>新營JC受入</t>
    <rPh sb="0" eb="1">
      <t>シン</t>
    </rPh>
    <rPh sb="1" eb="2">
      <t>エイ</t>
    </rPh>
    <rPh sb="4" eb="6">
      <t>ウケイレ</t>
    </rPh>
    <phoneticPr fontId="4"/>
  </si>
  <si>
    <t>シニア・クラブより</t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</si>
  <si>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</si>
  <si>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</si>
  <si>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</si>
  <si>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</si>
  <si>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</si>
  <si>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</si>
  <si>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</si>
  <si>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</si>
  <si>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</si>
  <si>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</si>
  <si>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カード利用手数料・シニア・クラブからの交流費収入</t>
    <rPh sb="3" eb="5">
      <t>リヨウ</t>
    </rPh>
    <rPh sb="5" eb="8">
      <t>テスウリョウ</t>
    </rPh>
    <rPh sb="19" eb="21">
      <t>コウリュウ</t>
    </rPh>
    <rPh sb="21" eb="22">
      <t>ヒ</t>
    </rPh>
    <rPh sb="22" eb="24">
      <t>シュウニュウ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</si>
  <si>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</si>
  <si>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</si>
  <si>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</si>
  <si>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</si>
  <si>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</si>
  <si>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</si>
  <si>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</si>
  <si>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</si>
  <si>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</si>
  <si>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</si>
  <si>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</si>
  <si>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</si>
  <si>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</si>
  <si>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</si>
  <si>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</si>
  <si>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</si>
  <si>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</si>
  <si>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</si>
  <si>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</si>
  <si>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</si>
  <si>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</si>
  <si>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</si>
  <si>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</si>
  <si>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</si>
  <si>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労働保険料</t>
    <rPh sb="0" eb="2">
      <t>ロウドウ</t>
    </rPh>
    <rPh sb="2" eb="5">
      <t>ホケンリョウ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</si>
  <si>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</si>
  <si>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電話ネッ利用料・郵送料・葉書・切手代</t>
    <rPh sb="0" eb="2">
      <t>デンワ</t>
    </rPh>
    <rPh sb="4" eb="7">
      <t>リヨウリョウ</t>
    </rPh>
    <rPh sb="8" eb="11">
      <t>ユウソウリョウ</t>
    </rPh>
    <rPh sb="12" eb="14">
      <t>ハガキ</t>
    </rPh>
    <rPh sb="15" eb="17">
      <t>キッテ</t>
    </rPh>
    <rPh sb="17" eb="18">
      <t>ダイ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</si>
  <si>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</si>
  <si>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</si>
  <si>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</si>
  <si>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</si>
  <si>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</si>
  <si>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</si>
  <si>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電気・ガス・水道代</t>
    <rPh sb="0" eb="2">
      <t>デンキ</t>
    </rPh>
    <rPh sb="6" eb="8">
      <t>スイドウ</t>
    </rPh>
    <rPh sb="8" eb="9">
      <t>ダイ</t>
    </rPh>
    <phoneticPr fontId="4"/>
  </si>
  <si>
    <t>支払手数料</t>
    <rPh sb="0" eb="2">
      <t>シハライ</t>
    </rPh>
    <rPh sb="2" eb="5">
      <t>テスウリョウ</t>
    </rPh>
    <phoneticPr fontId="4"/>
  </si>
  <si>
    <t>会費口座振替手数料・振込手数料</t>
    <rPh sb="0" eb="2">
      <t>カイヒ</t>
    </rPh>
    <rPh sb="2" eb="4">
      <t>コウザ</t>
    </rPh>
    <rPh sb="4" eb="6">
      <t>フリカエ</t>
    </rPh>
    <rPh sb="6" eb="9">
      <t>テスウリョウ</t>
    </rPh>
    <rPh sb="10" eb="12">
      <t>フリコミ</t>
    </rPh>
    <rPh sb="12" eb="1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</si>
  <si>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</si>
  <si>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</si>
  <si>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</si>
  <si>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理事登記変更代・収入印紙代</t>
    <rPh sb="0" eb="2">
      <t>リジ</t>
    </rPh>
    <rPh sb="2" eb="4">
      <t>トウキ</t>
    </rPh>
    <rPh sb="4" eb="6">
      <t>ヘンコウ</t>
    </rPh>
    <rPh sb="6" eb="7">
      <t>ダイ</t>
    </rPh>
    <rPh sb="8" eb="10">
      <t>シュウニュウ</t>
    </rPh>
    <rPh sb="10" eb="12">
      <t>インシ</t>
    </rPh>
    <rPh sb="12" eb="13">
      <t>ダイ</t>
    </rPh>
    <phoneticPr fontId="4"/>
  </si>
  <si>
    <t>法人税</t>
    <rPh sb="0" eb="3">
      <t>ホウジンゼイ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</si>
  <si>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</si>
  <si>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</si>
  <si>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</si>
  <si>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</si>
  <si>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</si>
  <si>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</si>
  <si>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</si>
  <si>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</si>
  <si>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</si>
  <si>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</si>
  <si>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</si>
  <si>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</si>
  <si>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</si>
  <si>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</si>
  <si>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</si>
  <si>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</si>
  <si>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</si>
  <si>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</si>
  <si>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</si>
  <si>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JC会館備品リース料・再リース料</t>
    <rPh sb="2" eb="4">
      <t>カイカン</t>
    </rPh>
    <rPh sb="4" eb="6">
      <t>ビヒン</t>
    </rPh>
    <rPh sb="9" eb="10">
      <t>リョウ</t>
    </rPh>
    <rPh sb="11" eb="12">
      <t>サイ</t>
    </rPh>
    <rPh sb="15" eb="16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</si>
  <si>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</si>
  <si>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</si>
  <si>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</si>
  <si>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</si>
  <si>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結婚出産祝い・佛花代・電報代</t>
    <rPh sb="0" eb="2">
      <t>ケッコン</t>
    </rPh>
    <rPh sb="2" eb="4">
      <t>シュッサン</t>
    </rPh>
    <rPh sb="4" eb="5">
      <t>イワ</t>
    </rPh>
    <rPh sb="7" eb="8">
      <t>ブツ</t>
    </rPh>
    <rPh sb="8" eb="9">
      <t>バナ</t>
    </rPh>
    <rPh sb="9" eb="10">
      <t>ダイ</t>
    </rPh>
    <rPh sb="11" eb="13">
      <t>デンポウ</t>
    </rPh>
    <rPh sb="13" eb="14">
      <t>ダイ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</si>
  <si>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</si>
  <si>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寸志代</t>
    <rPh sb="0" eb="2">
      <t>スンシ</t>
    </rPh>
    <rPh sb="2" eb="3">
      <t>ダイ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</si>
  <si>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</si>
  <si>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</si>
  <si>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</si>
  <si>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</si>
  <si>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</si>
  <si>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</si>
  <si>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広報委員会</t>
    <rPh sb="0" eb="2">
      <t>コウホウ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</si>
  <si>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</si>
  <si>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会員交流・研修委員会</t>
    <rPh sb="0" eb="2">
      <t>カイイン</t>
    </rPh>
    <rPh sb="2" eb="4">
      <t>コウリュウ</t>
    </rPh>
    <rPh sb="5" eb="7">
      <t>ケンシュウ</t>
    </rPh>
    <rPh sb="7" eb="10">
      <t>イインカイ</t>
    </rPh>
    <phoneticPr fontId="4"/>
  </si>
  <si>
    <t>維新伝心まちづくり委員会</t>
    <rPh sb="0" eb="2">
      <t>イシン</t>
    </rPh>
    <rPh sb="2" eb="4">
      <t>デンシン</t>
    </rPh>
    <rPh sb="9" eb="12">
      <t>イインカイ</t>
    </rPh>
    <phoneticPr fontId="4"/>
  </si>
  <si>
    <t>こども・環境委員会</t>
    <rPh sb="4" eb="6">
      <t>カンキョウ</t>
    </rPh>
    <rPh sb="6" eb="9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</si>
  <si>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</si>
  <si>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</si>
  <si>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</si>
  <si>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</si>
  <si>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</si>
  <si>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登録料</t>
    <rPh sb="0" eb="2">
      <t>トウロク</t>
    </rPh>
    <rPh sb="2" eb="3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</si>
  <si>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</si>
  <si>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</si>
  <si>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</si>
  <si>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</si>
  <si>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</si>
  <si>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</si>
  <si>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</si>
  <si>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基本資料・会員名簿</t>
    <rPh sb="0" eb="2">
      <t>キホン</t>
    </rPh>
    <rPh sb="2" eb="4">
      <t>シリョウ</t>
    </rPh>
    <rPh sb="5" eb="7">
      <t>カイイン</t>
    </rPh>
    <rPh sb="7" eb="9">
      <t>メイボ</t>
    </rPh>
    <phoneticPr fontId="4"/>
  </si>
  <si>
    <t>(一社）佐賀青年会議所２０１９年度収支予算書（案）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</si>
  <si>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2018年　　　　　　　　　　　　　　　　　　　補正予算額</t>
    <rPh sb="4" eb="5">
      <t>ネン</t>
    </rPh>
    <rPh sb="24" eb="26">
      <t>ホセイ</t>
    </rPh>
    <rPh sb="26" eb="28">
      <t>ヨサン</t>
    </rPh>
    <rPh sb="28" eb="29">
      <t>ガク</t>
    </rPh>
    <phoneticPr fontId="4"/>
  </si>
  <si>
    <t>2019年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</si>
  <si>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登録費収益(現役)</t>
    <rPh sb="0" eb="2">
      <t>トウロク</t>
    </rPh>
    <rPh sb="2" eb="3">
      <t>ヒ</t>
    </rPh>
    <rPh sb="3" eb="5">
      <t>シュウエキ</t>
    </rPh>
    <phoneticPr fontId="4"/>
  </si>
  <si>
    <t>こどもキャンプ参加料＠500×50名</t>
    <rPh sb="7" eb="10">
      <t>サンカリョウ</t>
    </rPh>
    <rPh sb="17" eb="18">
      <t>ナ</t>
    </rPh>
    <phoneticPr fontId="3"/>
  </si>
  <si>
    <t>9/15広報事業出展料＠5,000×20社</t>
    <rPh sb="4" eb="6">
      <t>コウホウ</t>
    </rPh>
    <rPh sb="6" eb="8">
      <t>ジギョウ</t>
    </rPh>
    <rPh sb="8" eb="10">
      <t>シュッテン</t>
    </rPh>
    <rPh sb="10" eb="11">
      <t>リョウ</t>
    </rPh>
    <rPh sb="20" eb="21">
      <t>シャ</t>
    </rPh>
    <phoneticPr fontId="3"/>
  </si>
  <si>
    <t>ビジネス委員会</t>
    <rPh sb="4" eb="7">
      <t>イインカイ</t>
    </rPh>
    <phoneticPr fontId="4"/>
  </si>
  <si>
    <t>広報委員会</t>
    <rPh sb="0" eb="2">
      <t>コウホウ</t>
    </rPh>
    <phoneticPr fontId="3"/>
  </si>
  <si>
    <t>西神野自治会費＠6,000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phoneticPr fontId="4"/>
  </si>
  <si>
    <t>法人市民税＠60,000・法人県民税＠21,000</t>
    <rPh sb="0" eb="2">
      <t>ホウジン</t>
    </rPh>
    <rPh sb="2" eb="5">
      <t>シミンゼイ</t>
    </rPh>
    <rPh sb="13" eb="15">
      <t>ホウジン</t>
    </rPh>
    <rPh sb="15" eb="18">
      <t>ケンミンゼイ</t>
    </rPh>
    <phoneticPr fontId="4"/>
  </si>
  <si>
    <t>10.5＄(単価＠1,651)</t>
    <rPh sb="6" eb="8">
      <t>タンカ</t>
    </rPh>
    <phoneticPr fontId="4"/>
  </si>
  <si>
    <t>運営負担金＠2,000・地区大会登録料＠2,000</t>
    <rPh sb="0" eb="2">
      <t>ウンエイ</t>
    </rPh>
    <rPh sb="2" eb="5">
      <t>フタンキン</t>
    </rPh>
    <rPh sb="12" eb="14">
      <t>チク</t>
    </rPh>
    <rPh sb="14" eb="16">
      <t>タイカイ</t>
    </rPh>
    <rPh sb="16" eb="18">
      <t>トウロク</t>
    </rPh>
    <rPh sb="18" eb="19">
      <t>リョウ</t>
    </rPh>
    <phoneticPr fontId="4"/>
  </si>
  <si>
    <t>総務委員会　</t>
    <rPh sb="0" eb="2">
      <t>ソウム</t>
    </rPh>
    <rPh sb="2" eb="5">
      <t>イインカイ</t>
    </rPh>
    <phoneticPr fontId="4"/>
  </si>
  <si>
    <t>教育委員会　</t>
    <rPh sb="0" eb="2">
      <t>キョウイク</t>
    </rPh>
    <rPh sb="2" eb="5">
      <t>イインカイ</t>
    </rPh>
    <phoneticPr fontId="4"/>
  </si>
  <si>
    <t>環境委員会　</t>
    <rPh sb="0" eb="2">
      <t>カンキョウ</t>
    </rPh>
    <rPh sb="2" eb="5">
      <t>イインカイ</t>
    </rPh>
    <phoneticPr fontId="4"/>
  </si>
  <si>
    <t>国際委員会　</t>
    <rPh sb="0" eb="2">
      <t>コクサイ</t>
    </rPh>
    <rPh sb="2" eb="5">
      <t>イインカイ</t>
    </rPh>
    <phoneticPr fontId="4"/>
  </si>
  <si>
    <t>人づくり委員会　</t>
    <rPh sb="0" eb="1">
      <t>ヒト</t>
    </rPh>
    <rPh sb="4" eb="7">
      <t>イインカイ</t>
    </rPh>
    <phoneticPr fontId="3"/>
  </si>
  <si>
    <t>まちづくり委員会　</t>
    <rPh sb="5" eb="8">
      <t>イインカイ</t>
    </rPh>
    <phoneticPr fontId="3"/>
  </si>
  <si>
    <t>委員会予算トータルで約220万円</t>
    <rPh sb="0" eb="3">
      <t>イインカイ</t>
    </rPh>
    <rPh sb="3" eb="5">
      <t>ヨサン</t>
    </rPh>
    <rPh sb="10" eb="11">
      <t>ヤク</t>
    </rPh>
    <rPh sb="14" eb="16">
      <t>マンエン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</si>
</sst>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#,##0_ 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 shrinkToFit="1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shrinkToFit="1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7" fontId="11" fillId="0" borderId="9" xfId="1" applyNumberFormat="1" applyFont="1" applyFill="1" applyBorder="1" applyAlignment="1">
      <alignment vertical="center" shrinkToFit="1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7" fontId="6" fillId="0" borderId="5" xfId="1" applyNumberFormat="1" applyFont="1" applyFill="1" applyBorder="1" applyAlignment="1">
      <alignment vertical="center"/>
    </xf>
    <xf numFmtId="177" fontId="6" fillId="0" borderId="8" xfId="1" applyNumberFormat="1" applyFont="1" applyFill="1" applyBorder="1" applyAlignment="1">
      <alignment vertical="center"/>
    </xf>
    <xf numFmtId="177" fontId="6" fillId="0" borderId="8" xfId="1" applyNumberFormat="1" applyFont="1" applyFill="1" applyBorder="1" applyAlignment="1">
      <alignment vertical="center" shrinkToFit="1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176" fontId="6" fillId="0" borderId="4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0" fontId="12" fillId="0" borderId="8" xfId="0" applyFont="1" applyFill="1" applyBorder="1" applyAlignment="1">
      <alignment vertical="center"/>
    </xf>
    <xf numFmtId="0" fontId="0" fillId="0" borderId="0" xfId="0" applyAlignment="1">
      <alignment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4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vertical="center"/>
    </xf>
    <xf numFmtId="0" fontId="0" fillId="0" borderId="13" xfId="0" applyFill="1" applyBorder="1"/>
    <xf numFmtId="0" fontId="0" fillId="0" borderId="22" xfId="0" applyFill="1" applyBorder="1"/>
    <xf numFmtId="176" fontId="6" fillId="0" borderId="8" xfId="0" applyNumberFormat="1" applyFont="1" applyFill="1" applyBorder="1" applyAlignment="1">
      <alignment horizontal="center" vertical="center"/>
    </xf>
    <xf numFmtId="176" fontId="6" fillId="0" borderId="14" xfId="0" applyNumberFormat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9"/>
  <sheetViews>
    <sheetView tabSelected="1" topLeftCell="A61" zoomScale="86" zoomScaleNormal="86" workbookViewId="0">
      <selection activeCell="C67" sqref="C67"/>
    </sheetView>
  </sheetViews>
  <sheetFormatPr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39.25" style="1" customWidth="1"/>
    <col min="10" max="16384" width="9" style="1"/>
  </cols>
  <sheetData>
    <row r="1" spans="1:9" ht="17.25" x14ac:dyDescent="0.2">
      <c r="A1" s="85" t="s">
        <v>128</v>
      </c>
      <c r="B1" s="85"/>
      <c r="C1" s="85"/>
      <c r="D1" s="85"/>
      <c r="E1" s="85"/>
      <c r="F1" s="85"/>
      <c r="G1" s="85"/>
      <c r="H1" s="85"/>
      <c r="I1" s="85"/>
    </row>
    <row r="2" spans="1:9" ht="9.6" customHeight="1" x14ac:dyDescent="0.15">
      <c r="A2" s="86"/>
      <c r="B2" s="86"/>
      <c r="C2" s="86"/>
      <c r="D2" s="86"/>
      <c r="E2" s="86"/>
      <c r="F2" s="86"/>
      <c r="G2" s="86"/>
      <c r="H2" s="86"/>
      <c r="I2" s="86"/>
    </row>
    <row r="3" spans="1:9" ht="13.9" customHeight="1" x14ac:dyDescent="0.2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9" t="s">
        <v>129</v>
      </c>
      <c r="F4" s="7" t="s">
        <v>4</v>
      </c>
      <c r="G4" s="8" t="s">
        <v>5</v>
      </c>
      <c r="H4" s="9" t="s">
        <v>130</v>
      </c>
      <c r="I4" s="10" t="s">
        <v>6</v>
      </c>
    </row>
    <row r="5" spans="1:9" s="11" customFormat="1" ht="13.9" customHeight="1" x14ac:dyDescent="0.15">
      <c r="A5" s="12" t="s">
        <v>7</v>
      </c>
      <c r="B5" s="13" t="s">
        <v>8</v>
      </c>
      <c r="C5" s="14">
        <v>40000</v>
      </c>
      <c r="D5" s="15">
        <v>36</v>
      </c>
      <c r="E5" s="16">
        <v>1440000</v>
      </c>
      <c r="F5" s="14">
        <v>40000</v>
      </c>
      <c r="G5" s="17">
        <v>40</v>
      </c>
      <c r="H5" s="16">
        <f>F5*G5</f>
        <v>1600000</v>
      </c>
      <c r="I5" s="18"/>
    </row>
    <row r="6" spans="1:9" s="11" customFormat="1" ht="13.9" customHeight="1" x14ac:dyDescent="0.15">
      <c r="A6" s="19" t="s">
        <v>9</v>
      </c>
      <c r="B6" s="20" t="s">
        <v>10</v>
      </c>
      <c r="C6" s="17">
        <v>120000</v>
      </c>
      <c r="D6" s="27">
        <v>105</v>
      </c>
      <c r="E6" s="21">
        <v>13240000</v>
      </c>
      <c r="F6" s="17">
        <v>120000</v>
      </c>
      <c r="G6" s="17">
        <v>94</v>
      </c>
      <c r="H6" s="21">
        <f>F6*G6</f>
        <v>11280000</v>
      </c>
      <c r="I6" s="18"/>
    </row>
    <row r="7" spans="1:9" s="11" customFormat="1" ht="13.9" customHeight="1" x14ac:dyDescent="0.15">
      <c r="A7" s="19"/>
      <c r="B7" s="20" t="s">
        <v>11</v>
      </c>
      <c r="C7" s="17">
        <v>30000</v>
      </c>
      <c r="D7" s="27">
        <v>5</v>
      </c>
      <c r="E7" s="21">
        <v>150000</v>
      </c>
      <c r="F7" s="17"/>
      <c r="G7" s="17"/>
      <c r="H7" s="21">
        <v>0</v>
      </c>
      <c r="I7" s="22"/>
    </row>
    <row r="8" spans="1:9" s="11" customFormat="1" ht="13.9" customHeight="1" x14ac:dyDescent="0.15">
      <c r="A8" s="19"/>
      <c r="B8" s="20" t="s">
        <v>12</v>
      </c>
      <c r="C8" s="17">
        <v>10000</v>
      </c>
      <c r="D8" s="27">
        <v>30</v>
      </c>
      <c r="E8" s="21">
        <v>300000</v>
      </c>
      <c r="F8" s="17"/>
      <c r="G8" s="17"/>
      <c r="H8" s="21">
        <v>0</v>
      </c>
      <c r="I8" s="18"/>
    </row>
    <row r="9" spans="1:9" s="11" customFormat="1" ht="13.9" customHeight="1" x14ac:dyDescent="0.15">
      <c r="A9" s="19" t="s">
        <v>13</v>
      </c>
      <c r="B9" s="20" t="s">
        <v>14</v>
      </c>
      <c r="C9" s="17">
        <v>5000</v>
      </c>
      <c r="D9" s="27">
        <v>20</v>
      </c>
      <c r="E9" s="21">
        <v>100000</v>
      </c>
      <c r="F9" s="17"/>
      <c r="G9" s="17"/>
      <c r="H9" s="21">
        <v>0</v>
      </c>
      <c r="I9" s="23" t="s">
        <v>133</v>
      </c>
    </row>
    <row r="10" spans="1:9" s="11" customFormat="1" ht="13.9" customHeight="1" x14ac:dyDescent="0.15">
      <c r="A10" s="19"/>
      <c r="B10" s="20" t="s">
        <v>131</v>
      </c>
      <c r="C10" s="17">
        <v>500</v>
      </c>
      <c r="D10" s="27">
        <v>50</v>
      </c>
      <c r="E10" s="21">
        <v>25000</v>
      </c>
      <c r="F10" s="17"/>
      <c r="G10" s="17"/>
      <c r="H10" s="21">
        <v>0</v>
      </c>
      <c r="I10" s="23" t="s">
        <v>132</v>
      </c>
    </row>
    <row r="11" spans="1:9" s="11" customFormat="1" ht="13.9" customHeight="1" x14ac:dyDescent="0.15">
      <c r="A11" s="19"/>
      <c r="B11" s="20" t="s">
        <v>15</v>
      </c>
      <c r="C11" s="17"/>
      <c r="D11" s="27"/>
      <c r="E11" s="21">
        <v>0</v>
      </c>
      <c r="F11" s="17"/>
      <c r="G11" s="17"/>
      <c r="H11" s="21">
        <v>0</v>
      </c>
      <c r="I11" s="18"/>
    </row>
    <row r="12" spans="1:9" s="11" customFormat="1" ht="13.9" customHeight="1" x14ac:dyDescent="0.15">
      <c r="A12" s="19"/>
      <c r="B12" s="20" t="s">
        <v>16</v>
      </c>
      <c r="C12" s="17"/>
      <c r="D12" s="27"/>
      <c r="E12" s="21">
        <v>1750000</v>
      </c>
      <c r="F12" s="17"/>
      <c r="G12" s="17"/>
      <c r="H12" s="21">
        <v>1750000</v>
      </c>
      <c r="I12" s="18" t="s">
        <v>17</v>
      </c>
    </row>
    <row r="13" spans="1:9" s="11" customFormat="1" ht="13.9" customHeight="1" x14ac:dyDescent="0.15">
      <c r="A13" s="24" t="s">
        <v>18</v>
      </c>
      <c r="B13" s="25" t="s">
        <v>19</v>
      </c>
      <c r="C13" s="26"/>
      <c r="D13" s="27"/>
      <c r="E13" s="21">
        <v>2330000</v>
      </c>
      <c r="F13" s="17"/>
      <c r="G13" s="17"/>
      <c r="H13" s="21">
        <v>2330000</v>
      </c>
      <c r="I13" s="18" t="s">
        <v>20</v>
      </c>
    </row>
    <row r="14" spans="1:9" s="11" customFormat="1" ht="13.9" customHeight="1" x14ac:dyDescent="0.15">
      <c r="A14" s="19" t="s">
        <v>21</v>
      </c>
      <c r="B14" s="25" t="s">
        <v>22</v>
      </c>
      <c r="C14" s="17"/>
      <c r="D14" s="27"/>
      <c r="E14" s="21">
        <v>0</v>
      </c>
      <c r="F14" s="17"/>
      <c r="G14" s="17"/>
      <c r="H14" s="21">
        <v>0</v>
      </c>
      <c r="I14" s="18" t="s">
        <v>23</v>
      </c>
    </row>
    <row r="15" spans="1:9" s="11" customFormat="1" ht="13.9" customHeight="1" x14ac:dyDescent="0.15">
      <c r="A15" s="19"/>
      <c r="B15" s="28" t="s">
        <v>24</v>
      </c>
      <c r="C15" s="17"/>
      <c r="D15" s="27"/>
      <c r="E15" s="21">
        <v>0</v>
      </c>
      <c r="F15" s="17"/>
      <c r="G15" s="17"/>
      <c r="H15" s="21">
        <v>0</v>
      </c>
      <c r="I15" s="18"/>
    </row>
    <row r="16" spans="1:9" s="11" customFormat="1" ht="13.9" customHeight="1" x14ac:dyDescent="0.15">
      <c r="A16" s="19" t="s">
        <v>25</v>
      </c>
      <c r="B16" s="19" t="s">
        <v>26</v>
      </c>
      <c r="C16" s="27"/>
      <c r="D16" s="27"/>
      <c r="E16" s="21">
        <v>0</v>
      </c>
      <c r="F16" s="17"/>
      <c r="G16" s="17"/>
      <c r="H16" s="21">
        <v>0</v>
      </c>
      <c r="I16" s="18" t="s">
        <v>27</v>
      </c>
    </row>
    <row r="17" spans="1:9" s="11" customFormat="1" ht="13.9" customHeight="1" x14ac:dyDescent="0.15">
      <c r="A17" s="19"/>
      <c r="B17" s="25" t="s">
        <v>28</v>
      </c>
      <c r="C17" s="26"/>
      <c r="D17" s="27"/>
      <c r="E17" s="21">
        <v>140000</v>
      </c>
      <c r="F17" s="17"/>
      <c r="G17" s="17"/>
      <c r="H17" s="21">
        <v>140000</v>
      </c>
      <c r="I17" s="29"/>
    </row>
    <row r="18" spans="1:9" s="11" customFormat="1" ht="13.9" customHeight="1" x14ac:dyDescent="0.15">
      <c r="A18" s="19"/>
      <c r="B18" s="25" t="s">
        <v>29</v>
      </c>
      <c r="C18" s="26"/>
      <c r="D18" s="27"/>
      <c r="E18" s="21">
        <v>200000</v>
      </c>
      <c r="F18" s="17"/>
      <c r="G18" s="17"/>
      <c r="H18" s="21">
        <v>200000</v>
      </c>
      <c r="I18" s="18"/>
    </row>
    <row r="19" spans="1:9" s="11" customFormat="1" ht="13.9" customHeight="1" x14ac:dyDescent="0.15">
      <c r="A19" s="19"/>
      <c r="B19" s="25" t="s">
        <v>30</v>
      </c>
      <c r="C19" s="26">
        <v>10000</v>
      </c>
      <c r="D19" s="27">
        <v>20</v>
      </c>
      <c r="E19" s="21">
        <v>200000</v>
      </c>
      <c r="F19" s="17">
        <v>10000</v>
      </c>
      <c r="G19" s="17">
        <v>21</v>
      </c>
      <c r="H19" s="21">
        <v>210000</v>
      </c>
      <c r="I19" s="22" t="s">
        <v>31</v>
      </c>
    </row>
    <row r="20" spans="1:9" s="11" customFormat="1" ht="13.9" customHeight="1" x14ac:dyDescent="0.15">
      <c r="A20" s="19"/>
      <c r="B20" s="25" t="s">
        <v>32</v>
      </c>
      <c r="C20" s="26"/>
      <c r="D20" s="27"/>
      <c r="E20" s="21">
        <v>120000</v>
      </c>
      <c r="F20" s="17"/>
      <c r="G20" s="17"/>
      <c r="H20" s="21">
        <v>120000</v>
      </c>
      <c r="I20" s="18"/>
    </row>
    <row r="21" spans="1:9" s="11" customFormat="1" ht="13.9" customHeight="1" x14ac:dyDescent="0.15">
      <c r="A21" s="19"/>
      <c r="B21" s="25" t="s">
        <v>33</v>
      </c>
      <c r="C21" s="26"/>
      <c r="D21" s="27"/>
      <c r="E21" s="21">
        <v>44008</v>
      </c>
      <c r="F21" s="17"/>
      <c r="G21" s="17"/>
      <c r="H21" s="21">
        <v>0</v>
      </c>
      <c r="I21" s="30" t="s">
        <v>34</v>
      </c>
    </row>
    <row r="22" spans="1:9" s="11" customFormat="1" ht="13.9" customHeight="1" x14ac:dyDescent="0.15">
      <c r="A22" s="31" t="s">
        <v>35</v>
      </c>
      <c r="B22" s="32" t="s">
        <v>36</v>
      </c>
      <c r="C22" s="26"/>
      <c r="D22" s="27"/>
      <c r="E22" s="21">
        <v>0</v>
      </c>
      <c r="F22" s="17"/>
      <c r="G22" s="17"/>
      <c r="H22" s="21">
        <v>0</v>
      </c>
      <c r="I22" s="18"/>
    </row>
    <row r="23" spans="1:9" s="11" customFormat="1" ht="13.9" customHeight="1" x14ac:dyDescent="0.15">
      <c r="A23" s="33"/>
      <c r="B23" s="34" t="s">
        <v>37</v>
      </c>
      <c r="C23" s="26"/>
      <c r="D23" s="35"/>
      <c r="E23" s="21">
        <v>0</v>
      </c>
      <c r="F23" s="36"/>
      <c r="G23" s="26"/>
      <c r="H23" s="21">
        <v>0</v>
      </c>
      <c r="I23" s="18"/>
    </row>
    <row r="24" spans="1:9" s="11" customFormat="1" ht="16.899999999999999" customHeight="1" x14ac:dyDescent="0.15">
      <c r="A24" s="87" t="s">
        <v>38</v>
      </c>
      <c r="B24" s="88"/>
      <c r="C24" s="37"/>
      <c r="D24" s="15"/>
      <c r="E24" s="16">
        <v>20039008</v>
      </c>
      <c r="F24" s="38"/>
      <c r="G24" s="15"/>
      <c r="H24" s="39">
        <f>SUM(H5:H23)</f>
        <v>17630000</v>
      </c>
      <c r="I24" s="18"/>
    </row>
    <row r="25" spans="1:9" s="11" customFormat="1" ht="16.899999999999999" customHeight="1" x14ac:dyDescent="0.15">
      <c r="A25" s="89" t="s">
        <v>39</v>
      </c>
      <c r="B25" s="88"/>
      <c r="C25" s="40"/>
      <c r="D25" s="41"/>
      <c r="E25" s="63">
        <v>1233091</v>
      </c>
      <c r="F25" s="42"/>
      <c r="G25" s="41"/>
      <c r="H25" s="62">
        <v>1233091</v>
      </c>
      <c r="I25" s="18" t="s">
        <v>40</v>
      </c>
    </row>
    <row r="26" spans="1:9" s="11" customFormat="1" ht="16.899999999999999" customHeight="1" x14ac:dyDescent="0.15">
      <c r="A26" s="89" t="s">
        <v>41</v>
      </c>
      <c r="B26" s="88"/>
      <c r="C26" s="43"/>
      <c r="D26" s="35"/>
      <c r="E26" s="44">
        <f>SUM(E24:E25)</f>
        <v>21272099</v>
      </c>
      <c r="F26" s="45"/>
      <c r="G26" s="35"/>
      <c r="H26" s="46">
        <f>SUM(H24:H25)</f>
        <v>18863091</v>
      </c>
      <c r="I26" s="47"/>
    </row>
    <row r="27" spans="1:9" s="11" customFormat="1" x14ac:dyDescent="0.15">
      <c r="A27" s="48"/>
      <c r="B27" s="48"/>
      <c r="C27" s="49"/>
      <c r="D27" s="26"/>
      <c r="E27" s="26"/>
      <c r="F27" s="26"/>
      <c r="G27" s="26"/>
      <c r="H27" s="26"/>
      <c r="I27" s="50"/>
    </row>
    <row r="28" spans="1:9" s="11" customFormat="1" x14ac:dyDescent="0.15">
      <c r="A28" s="51" t="s">
        <v>42</v>
      </c>
      <c r="B28" s="52"/>
      <c r="C28" s="53"/>
      <c r="D28" s="26"/>
      <c r="E28" s="26"/>
      <c r="F28" s="26"/>
      <c r="G28" s="26"/>
      <c r="H28" s="26"/>
      <c r="I28" s="54"/>
    </row>
    <row r="29" spans="1:9" s="11" customFormat="1" ht="30" customHeight="1" x14ac:dyDescent="0.15">
      <c r="A29" s="55" t="str">
        <f>A4</f>
        <v>項　目</v>
      </c>
      <c r="B29" s="55" t="str">
        <f>B4</f>
        <v>勘 定 科 目</v>
      </c>
      <c r="C29" s="56" t="str">
        <f>C4</f>
        <v>単価</v>
      </c>
      <c r="D29" s="56" t="str">
        <f>D4</f>
        <v>人員</v>
      </c>
      <c r="E29" s="9" t="s">
        <v>129</v>
      </c>
      <c r="F29" s="7" t="s">
        <v>4</v>
      </c>
      <c r="G29" s="8" t="s">
        <v>5</v>
      </c>
      <c r="H29" s="9" t="s">
        <v>130</v>
      </c>
      <c r="I29" s="10" t="s">
        <v>6</v>
      </c>
    </row>
    <row r="30" spans="1:9" s="11" customFormat="1" ht="13.9" customHeight="1" x14ac:dyDescent="0.15">
      <c r="A30" s="82" t="s">
        <v>43</v>
      </c>
      <c r="B30" s="57" t="s">
        <v>44</v>
      </c>
      <c r="C30" s="15">
        <v>1651</v>
      </c>
      <c r="D30" s="15"/>
      <c r="E30" s="39">
        <v>198120</v>
      </c>
      <c r="F30" s="38">
        <v>1651</v>
      </c>
      <c r="G30" s="37">
        <v>93</v>
      </c>
      <c r="H30" s="21">
        <f>F30*G30</f>
        <v>153543</v>
      </c>
      <c r="I30" s="18" t="s">
        <v>138</v>
      </c>
    </row>
    <row r="31" spans="1:9" s="11" customFormat="1" ht="13.9" customHeight="1" x14ac:dyDescent="0.15">
      <c r="A31" s="83"/>
      <c r="B31" s="28" t="s">
        <v>45</v>
      </c>
      <c r="C31" s="27"/>
      <c r="D31" s="27"/>
      <c r="E31" s="58">
        <v>75000</v>
      </c>
      <c r="F31" s="36"/>
      <c r="G31" s="59">
        <v>93</v>
      </c>
      <c r="H31" s="21">
        <f t="shared" ref="H31:H40" si="0">F31*G31</f>
        <v>0</v>
      </c>
      <c r="I31" s="18"/>
    </row>
    <row r="32" spans="1:9" s="11" customFormat="1" ht="13.9" customHeight="1" x14ac:dyDescent="0.15">
      <c r="A32" s="83"/>
      <c r="B32" s="28" t="s">
        <v>46</v>
      </c>
      <c r="C32" s="27">
        <v>5000</v>
      </c>
      <c r="D32" s="27"/>
      <c r="E32" s="58">
        <v>600000</v>
      </c>
      <c r="F32" s="27">
        <v>5000</v>
      </c>
      <c r="G32" s="59">
        <v>93</v>
      </c>
      <c r="H32" s="21">
        <f t="shared" si="0"/>
        <v>465000</v>
      </c>
      <c r="I32" s="18"/>
    </row>
    <row r="33" spans="1:9" s="11" customFormat="1" ht="13.9" customHeight="1" x14ac:dyDescent="0.15">
      <c r="A33" s="83"/>
      <c r="B33" s="28" t="s">
        <v>47</v>
      </c>
      <c r="C33" s="27">
        <v>1825</v>
      </c>
      <c r="D33" s="27"/>
      <c r="E33" s="58">
        <v>219000</v>
      </c>
      <c r="F33" s="27">
        <v>1825</v>
      </c>
      <c r="G33" s="59">
        <v>93</v>
      </c>
      <c r="H33" s="21">
        <f t="shared" si="0"/>
        <v>169725</v>
      </c>
      <c r="I33" s="18"/>
    </row>
    <row r="34" spans="1:9" s="11" customFormat="1" ht="13.9" customHeight="1" x14ac:dyDescent="0.15">
      <c r="A34" s="83"/>
      <c r="B34" s="28" t="s">
        <v>48</v>
      </c>
      <c r="C34" s="27">
        <v>3000</v>
      </c>
      <c r="D34" s="27"/>
      <c r="E34" s="58">
        <v>360000</v>
      </c>
      <c r="F34" s="27">
        <v>3000</v>
      </c>
      <c r="G34" s="59">
        <v>93</v>
      </c>
      <c r="H34" s="21">
        <f t="shared" si="0"/>
        <v>279000</v>
      </c>
      <c r="I34" s="18"/>
    </row>
    <row r="35" spans="1:9" s="11" customFormat="1" ht="13.9" customHeight="1" x14ac:dyDescent="0.15">
      <c r="A35" s="83"/>
      <c r="B35" s="28" t="s">
        <v>49</v>
      </c>
      <c r="C35" s="27">
        <v>4000</v>
      </c>
      <c r="D35" s="27"/>
      <c r="E35" s="58">
        <v>480000</v>
      </c>
      <c r="F35" s="27">
        <v>4000</v>
      </c>
      <c r="G35" s="59">
        <v>93</v>
      </c>
      <c r="H35" s="21">
        <f t="shared" si="0"/>
        <v>372000</v>
      </c>
      <c r="I35" s="22" t="s">
        <v>139</v>
      </c>
    </row>
    <row r="36" spans="1:9" s="11" customFormat="1" ht="13.9" customHeight="1" x14ac:dyDescent="0.15">
      <c r="A36" s="83"/>
      <c r="B36" s="28" t="s">
        <v>50</v>
      </c>
      <c r="C36" s="27"/>
      <c r="D36" s="27"/>
      <c r="E36" s="58">
        <v>30000</v>
      </c>
      <c r="F36" s="27"/>
      <c r="G36" s="59"/>
      <c r="H36" s="21">
        <f t="shared" si="0"/>
        <v>0</v>
      </c>
      <c r="I36" s="18"/>
    </row>
    <row r="37" spans="1:9" s="11" customFormat="1" ht="13.9" customHeight="1" x14ac:dyDescent="0.15">
      <c r="A37" s="83"/>
      <c r="B37" s="28" t="s">
        <v>51</v>
      </c>
      <c r="C37" s="27">
        <v>3500</v>
      </c>
      <c r="D37" s="27">
        <v>105</v>
      </c>
      <c r="E37" s="58">
        <v>420000</v>
      </c>
      <c r="F37" s="27">
        <v>3500</v>
      </c>
      <c r="G37" s="59">
        <v>93</v>
      </c>
      <c r="H37" s="21">
        <f t="shared" si="0"/>
        <v>325500</v>
      </c>
      <c r="I37" s="18"/>
    </row>
    <row r="38" spans="1:9" s="11" customFormat="1" ht="13.9" customHeight="1" x14ac:dyDescent="0.15">
      <c r="A38" s="83"/>
      <c r="B38" s="28" t="s">
        <v>52</v>
      </c>
      <c r="C38" s="27">
        <v>30000</v>
      </c>
      <c r="D38" s="27">
        <v>9</v>
      </c>
      <c r="E38" s="58">
        <v>180000</v>
      </c>
      <c r="F38" s="27">
        <v>20000</v>
      </c>
      <c r="G38" s="59">
        <v>8</v>
      </c>
      <c r="H38" s="21">
        <v>160000</v>
      </c>
      <c r="I38" s="18"/>
    </row>
    <row r="39" spans="1:9" s="11" customFormat="1" ht="13.9" customHeight="1" x14ac:dyDescent="0.15">
      <c r="A39" s="83"/>
      <c r="B39" s="28" t="s">
        <v>53</v>
      </c>
      <c r="C39" s="27"/>
      <c r="D39" s="27"/>
      <c r="E39" s="58">
        <v>0</v>
      </c>
      <c r="F39" s="36"/>
      <c r="G39" s="59"/>
      <c r="H39" s="21">
        <f t="shared" si="0"/>
        <v>0</v>
      </c>
      <c r="I39" s="18"/>
    </row>
    <row r="40" spans="1:9" s="11" customFormat="1" ht="13.9" customHeight="1" x14ac:dyDescent="0.15">
      <c r="A40" s="83"/>
      <c r="B40" s="28" t="s">
        <v>54</v>
      </c>
      <c r="C40" s="27"/>
      <c r="D40" s="27"/>
      <c r="E40" s="58">
        <v>200000</v>
      </c>
      <c r="F40" s="45">
        <v>10000</v>
      </c>
      <c r="G40" s="59">
        <v>21</v>
      </c>
      <c r="H40" s="21">
        <f t="shared" si="0"/>
        <v>210000</v>
      </c>
      <c r="I40" s="18"/>
    </row>
    <row r="41" spans="1:9" s="11" customFormat="1" ht="16.899999999999999" customHeight="1" x14ac:dyDescent="0.15">
      <c r="A41" s="84"/>
      <c r="B41" s="60" t="s">
        <v>55</v>
      </c>
      <c r="C41" s="61"/>
      <c r="D41" s="41"/>
      <c r="E41" s="62">
        <f>SUM(E30:E40)</f>
        <v>2762120</v>
      </c>
      <c r="F41" s="42"/>
      <c r="G41" s="40"/>
      <c r="H41" s="63">
        <f>SUM(H30:H40)</f>
        <v>2134768</v>
      </c>
      <c r="I41" s="18"/>
    </row>
    <row r="42" spans="1:9" s="11" customFormat="1" ht="13.9" customHeight="1" x14ac:dyDescent="0.15">
      <c r="A42" s="82" t="s">
        <v>56</v>
      </c>
      <c r="B42" s="64" t="s">
        <v>57</v>
      </c>
      <c r="C42" s="17"/>
      <c r="D42" s="27"/>
      <c r="E42" s="58">
        <v>1450000</v>
      </c>
      <c r="F42" s="36"/>
      <c r="G42" s="59"/>
      <c r="H42" s="21">
        <v>1450000</v>
      </c>
      <c r="I42" s="65"/>
    </row>
    <row r="43" spans="1:9" s="11" customFormat="1" ht="13.9" customHeight="1" x14ac:dyDescent="0.15">
      <c r="A43" s="83"/>
      <c r="B43" s="64" t="s">
        <v>58</v>
      </c>
      <c r="C43" s="17"/>
      <c r="D43" s="27"/>
      <c r="E43" s="58">
        <v>25000</v>
      </c>
      <c r="F43" s="36"/>
      <c r="G43" s="59"/>
      <c r="H43" s="21">
        <v>25000</v>
      </c>
      <c r="I43" s="66" t="s">
        <v>59</v>
      </c>
    </row>
    <row r="44" spans="1:9" s="11" customFormat="1" ht="13.9" customHeight="1" x14ac:dyDescent="0.15">
      <c r="A44" s="83"/>
      <c r="B44" s="64" t="s">
        <v>60</v>
      </c>
      <c r="C44" s="17"/>
      <c r="D44" s="27"/>
      <c r="E44" s="58">
        <v>600000</v>
      </c>
      <c r="F44" s="36"/>
      <c r="G44" s="59"/>
      <c r="H44" s="21">
        <v>600000</v>
      </c>
      <c r="I44" s="18" t="s">
        <v>61</v>
      </c>
    </row>
    <row r="45" spans="1:9" s="11" customFormat="1" ht="13.9" customHeight="1" x14ac:dyDescent="0.15">
      <c r="A45" s="83"/>
      <c r="B45" s="64" t="s">
        <v>62</v>
      </c>
      <c r="C45" s="17"/>
      <c r="D45" s="27"/>
      <c r="E45" s="58">
        <v>250000</v>
      </c>
      <c r="F45" s="36"/>
      <c r="G45" s="59"/>
      <c r="H45" s="21">
        <v>250000</v>
      </c>
      <c r="I45" s="18" t="s">
        <v>63</v>
      </c>
    </row>
    <row r="46" spans="1:9" s="11" customFormat="1" ht="13.9" customHeight="1" x14ac:dyDescent="0.15">
      <c r="A46" s="83"/>
      <c r="B46" s="64" t="s">
        <v>64</v>
      </c>
      <c r="C46" s="17"/>
      <c r="D46" s="27"/>
      <c r="E46" s="58">
        <v>1690400</v>
      </c>
      <c r="F46" s="36"/>
      <c r="G46" s="59"/>
      <c r="H46" s="21">
        <v>1450000</v>
      </c>
      <c r="I46" s="22" t="s">
        <v>127</v>
      </c>
    </row>
    <row r="47" spans="1:9" s="11" customFormat="1" ht="13.9" customHeight="1" x14ac:dyDescent="0.15">
      <c r="A47" s="83"/>
      <c r="B47" s="64" t="s">
        <v>65</v>
      </c>
      <c r="C47" s="17"/>
      <c r="D47" s="27"/>
      <c r="E47" s="58">
        <v>510000</v>
      </c>
      <c r="F47" s="36"/>
      <c r="G47" s="59"/>
      <c r="H47" s="21">
        <v>500000</v>
      </c>
      <c r="I47" s="67" t="s">
        <v>66</v>
      </c>
    </row>
    <row r="48" spans="1:9" s="11" customFormat="1" ht="13.9" customHeight="1" x14ac:dyDescent="0.15">
      <c r="A48" s="83"/>
      <c r="B48" s="64" t="s">
        <v>67</v>
      </c>
      <c r="C48" s="17"/>
      <c r="D48" s="27"/>
      <c r="E48" s="58">
        <v>600000</v>
      </c>
      <c r="F48" s="36"/>
      <c r="G48" s="59"/>
      <c r="H48" s="21">
        <v>600000</v>
      </c>
      <c r="I48" s="18" t="s">
        <v>68</v>
      </c>
    </row>
    <row r="49" spans="1:9" s="11" customFormat="1" ht="13.9" customHeight="1" x14ac:dyDescent="0.15">
      <c r="A49" s="83"/>
      <c r="B49" s="64" t="s">
        <v>69</v>
      </c>
      <c r="C49" s="27"/>
      <c r="D49" s="27"/>
      <c r="E49" s="58">
        <v>100000</v>
      </c>
      <c r="F49" s="36"/>
      <c r="G49" s="59"/>
      <c r="H49" s="21">
        <v>100000</v>
      </c>
      <c r="I49" s="18" t="s">
        <v>70</v>
      </c>
    </row>
    <row r="50" spans="1:9" s="11" customFormat="1" ht="13.9" customHeight="1" x14ac:dyDescent="0.15">
      <c r="A50" s="83"/>
      <c r="B50" s="64" t="s">
        <v>71</v>
      </c>
      <c r="C50" s="17"/>
      <c r="D50" s="27"/>
      <c r="E50" s="58">
        <v>94920</v>
      </c>
      <c r="F50" s="36"/>
      <c r="G50" s="59"/>
      <c r="H50" s="21">
        <v>94920</v>
      </c>
      <c r="I50" s="18" t="s">
        <v>72</v>
      </c>
    </row>
    <row r="51" spans="1:9" s="11" customFormat="1" ht="13.9" customHeight="1" x14ac:dyDescent="0.15">
      <c r="A51" s="83"/>
      <c r="B51" s="64" t="s">
        <v>73</v>
      </c>
      <c r="C51" s="17"/>
      <c r="D51" s="27"/>
      <c r="E51" s="58">
        <v>35000</v>
      </c>
      <c r="F51" s="36"/>
      <c r="G51" s="59"/>
      <c r="H51" s="21">
        <v>35000</v>
      </c>
      <c r="I51" s="18" t="s">
        <v>74</v>
      </c>
    </row>
    <row r="52" spans="1:9" s="11" customFormat="1" ht="13.9" customHeight="1" x14ac:dyDescent="0.15">
      <c r="A52" s="83"/>
      <c r="B52" s="34" t="s">
        <v>75</v>
      </c>
      <c r="C52" s="17"/>
      <c r="D52" s="27"/>
      <c r="E52" s="58">
        <v>81000</v>
      </c>
      <c r="F52" s="36"/>
      <c r="G52" s="59"/>
      <c r="H52" s="21">
        <v>81000</v>
      </c>
      <c r="I52" s="22" t="s">
        <v>137</v>
      </c>
    </row>
    <row r="53" spans="1:9" s="11" customFormat="1" ht="16.899999999999999" customHeight="1" x14ac:dyDescent="0.15">
      <c r="A53" s="84"/>
      <c r="B53" s="60" t="s">
        <v>76</v>
      </c>
      <c r="C53" s="61"/>
      <c r="D53" s="41"/>
      <c r="E53" s="62">
        <f>SUM(E42:E52)</f>
        <v>5436320</v>
      </c>
      <c r="F53" s="42"/>
      <c r="G53" s="40"/>
      <c r="H53" s="63">
        <f>SUM(H42:H52)</f>
        <v>5185920</v>
      </c>
      <c r="I53" s="18"/>
    </row>
    <row r="54" spans="1:9" s="11" customFormat="1" ht="13.9" customHeight="1" x14ac:dyDescent="0.15">
      <c r="A54" s="82" t="s">
        <v>77</v>
      </c>
      <c r="B54" s="64" t="s">
        <v>77</v>
      </c>
      <c r="C54" s="15"/>
      <c r="D54" s="15"/>
      <c r="E54" s="39">
        <v>100000</v>
      </c>
      <c r="F54" s="38"/>
      <c r="G54" s="37"/>
      <c r="H54" s="16">
        <v>100000</v>
      </c>
      <c r="I54" s="18" t="s">
        <v>78</v>
      </c>
    </row>
    <row r="55" spans="1:9" s="11" customFormat="1" ht="13.9" customHeight="1" x14ac:dyDescent="0.15">
      <c r="A55" s="83"/>
      <c r="B55" s="64" t="s">
        <v>79</v>
      </c>
      <c r="C55" s="17"/>
      <c r="D55" s="27"/>
      <c r="E55" s="58">
        <v>234576</v>
      </c>
      <c r="F55" s="36"/>
      <c r="G55" s="59"/>
      <c r="H55" s="21">
        <v>234576</v>
      </c>
      <c r="I55" s="18" t="s">
        <v>80</v>
      </c>
    </row>
    <row r="56" spans="1:9" s="11" customFormat="1" ht="13.9" customHeight="1" x14ac:dyDescent="0.15">
      <c r="A56" s="83"/>
      <c r="B56" s="64" t="s">
        <v>81</v>
      </c>
      <c r="C56" s="17"/>
      <c r="D56" s="27"/>
      <c r="E56" s="58">
        <v>280000</v>
      </c>
      <c r="F56" s="45"/>
      <c r="G56" s="59"/>
      <c r="H56" s="21">
        <v>280000</v>
      </c>
      <c r="I56" s="18" t="s">
        <v>82</v>
      </c>
    </row>
    <row r="57" spans="1:9" s="11" customFormat="1" ht="16.899999999999999" customHeight="1" x14ac:dyDescent="0.15">
      <c r="A57" s="84"/>
      <c r="B57" s="60" t="s">
        <v>83</v>
      </c>
      <c r="C57" s="61"/>
      <c r="D57" s="41"/>
      <c r="E57" s="62">
        <f>SUM(E54:E56)</f>
        <v>614576</v>
      </c>
      <c r="F57" s="46"/>
      <c r="G57" s="41"/>
      <c r="H57" s="63">
        <f>SUM(H54:H56)</f>
        <v>614576</v>
      </c>
      <c r="I57" s="18"/>
    </row>
    <row r="58" spans="1:9" s="11" customFormat="1" ht="13.9" customHeight="1" x14ac:dyDescent="0.15">
      <c r="A58" s="90" t="s">
        <v>84</v>
      </c>
      <c r="B58" s="68" t="s">
        <v>85</v>
      </c>
      <c r="C58" s="61"/>
      <c r="D58" s="41"/>
      <c r="E58" s="62">
        <v>216000</v>
      </c>
      <c r="F58" s="38"/>
      <c r="G58" s="59"/>
      <c r="H58" s="21">
        <v>216000</v>
      </c>
      <c r="I58" s="18"/>
    </row>
    <row r="59" spans="1:9" s="11" customFormat="1" ht="16.899999999999999" customHeight="1" x14ac:dyDescent="0.15">
      <c r="A59" s="91"/>
      <c r="B59" s="60" t="s">
        <v>86</v>
      </c>
      <c r="C59" s="61"/>
      <c r="D59" s="41"/>
      <c r="E59" s="62">
        <f>SUM(E58)</f>
        <v>216000</v>
      </c>
      <c r="F59" s="42"/>
      <c r="G59" s="40"/>
      <c r="H59" s="63">
        <f>SUM(H58)</f>
        <v>216000</v>
      </c>
      <c r="I59" s="18"/>
    </row>
    <row r="60" spans="1:9" s="11" customFormat="1" ht="13.9" customHeight="1" x14ac:dyDescent="0.15">
      <c r="A60" s="90" t="s">
        <v>87</v>
      </c>
      <c r="B60" s="69" t="s">
        <v>88</v>
      </c>
      <c r="C60" s="61"/>
      <c r="D60" s="41"/>
      <c r="E60" s="62">
        <v>100000</v>
      </c>
      <c r="F60" s="36"/>
      <c r="G60" s="41"/>
      <c r="H60" s="21">
        <v>100000</v>
      </c>
      <c r="I60" s="18" t="s">
        <v>89</v>
      </c>
    </row>
    <row r="61" spans="1:9" s="11" customFormat="1" ht="16.899999999999999" customHeight="1" x14ac:dyDescent="0.15">
      <c r="A61" s="91"/>
      <c r="B61" s="60" t="s">
        <v>90</v>
      </c>
      <c r="C61" s="70"/>
      <c r="D61" s="35"/>
      <c r="E61" s="71">
        <f>SUM(E60)</f>
        <v>100000</v>
      </c>
      <c r="F61" s="42"/>
      <c r="G61" s="43"/>
      <c r="H61" s="63">
        <f>SUM(H60)</f>
        <v>100000</v>
      </c>
      <c r="I61" s="18"/>
    </row>
    <row r="62" spans="1:9" s="11" customFormat="1" ht="13.9" customHeight="1" x14ac:dyDescent="0.15">
      <c r="A62" s="82" t="s">
        <v>91</v>
      </c>
      <c r="B62" s="64" t="s">
        <v>92</v>
      </c>
      <c r="C62" s="17"/>
      <c r="D62" s="27"/>
      <c r="E62" s="58">
        <v>468880</v>
      </c>
      <c r="F62" s="36"/>
      <c r="G62" s="59"/>
      <c r="H62" s="21">
        <v>468880</v>
      </c>
      <c r="I62" s="18" t="s">
        <v>93</v>
      </c>
    </row>
    <row r="63" spans="1:9" s="11" customFormat="1" ht="13.9" customHeight="1" x14ac:dyDescent="0.15">
      <c r="A63" s="83"/>
      <c r="B63" s="64" t="s">
        <v>94</v>
      </c>
      <c r="C63" s="17"/>
      <c r="D63" s="27"/>
      <c r="E63" s="58">
        <v>400000</v>
      </c>
      <c r="F63" s="36"/>
      <c r="G63" s="59"/>
      <c r="H63" s="21">
        <v>400000</v>
      </c>
      <c r="I63" s="18" t="s">
        <v>95</v>
      </c>
    </row>
    <row r="64" spans="1:9" s="11" customFormat="1" ht="16.899999999999999" customHeight="1" x14ac:dyDescent="0.15">
      <c r="A64" s="84"/>
      <c r="B64" s="60" t="s">
        <v>96</v>
      </c>
      <c r="C64" s="61"/>
      <c r="D64" s="41"/>
      <c r="E64" s="62">
        <f>SUM(E62:E63)</f>
        <v>868880</v>
      </c>
      <c r="F64" s="42"/>
      <c r="G64" s="40"/>
      <c r="H64" s="63">
        <f>SUM(H62:H63)</f>
        <v>868880</v>
      </c>
      <c r="I64" s="18"/>
    </row>
    <row r="65" spans="1:14" s="11" customFormat="1" ht="13.9" customHeight="1" x14ac:dyDescent="0.15">
      <c r="A65" s="82" t="s">
        <v>97</v>
      </c>
      <c r="B65" s="64" t="s">
        <v>97</v>
      </c>
      <c r="C65" s="14"/>
      <c r="D65" s="15"/>
      <c r="E65" s="39">
        <v>200000</v>
      </c>
      <c r="F65" s="36"/>
      <c r="G65" s="59"/>
      <c r="H65" s="21">
        <v>200000</v>
      </c>
      <c r="I65" s="18" t="s">
        <v>98</v>
      </c>
    </row>
    <row r="66" spans="1:14" s="11" customFormat="1" ht="13.9" customHeight="1" x14ac:dyDescent="0.15">
      <c r="A66" s="83"/>
      <c r="B66" s="64" t="s">
        <v>99</v>
      </c>
      <c r="C66" s="27"/>
      <c r="D66" s="27"/>
      <c r="E66" s="58">
        <v>120000</v>
      </c>
      <c r="F66" s="36"/>
      <c r="G66" s="59"/>
      <c r="H66" s="21">
        <v>120000</v>
      </c>
      <c r="I66" s="18" t="s">
        <v>100</v>
      </c>
    </row>
    <row r="67" spans="1:14" s="11" customFormat="1" ht="13.9" customHeight="1" x14ac:dyDescent="0.15">
      <c r="A67" s="83"/>
      <c r="B67" s="64" t="s">
        <v>101</v>
      </c>
      <c r="C67" s="27"/>
      <c r="D67" s="27"/>
      <c r="E67" s="58">
        <v>200000</v>
      </c>
      <c r="F67" s="36"/>
      <c r="G67" s="59"/>
      <c r="H67" s="21">
        <v>200000</v>
      </c>
      <c r="I67" s="18" t="s">
        <v>102</v>
      </c>
    </row>
    <row r="68" spans="1:14" s="11" customFormat="1" ht="13.9" customHeight="1" x14ac:dyDescent="0.15">
      <c r="A68" s="83"/>
      <c r="B68" s="64" t="s">
        <v>103</v>
      </c>
      <c r="C68" s="17"/>
      <c r="D68" s="27"/>
      <c r="E68" s="58">
        <v>40000</v>
      </c>
      <c r="F68" s="36"/>
      <c r="G68" s="59"/>
      <c r="H68" s="21">
        <v>40000</v>
      </c>
      <c r="I68" s="30" t="s">
        <v>104</v>
      </c>
    </row>
    <row r="69" spans="1:14" s="11" customFormat="1" ht="13.9" customHeight="1" x14ac:dyDescent="0.15">
      <c r="A69" s="83"/>
      <c r="B69" s="64" t="s">
        <v>105</v>
      </c>
      <c r="C69" s="17"/>
      <c r="D69" s="27"/>
      <c r="E69" s="71">
        <v>8000</v>
      </c>
      <c r="F69" s="36"/>
      <c r="G69" s="59"/>
      <c r="H69" s="21">
        <v>8000</v>
      </c>
      <c r="I69" s="18" t="s">
        <v>136</v>
      </c>
    </row>
    <row r="70" spans="1:14" s="11" customFormat="1" ht="16.899999999999999" customHeight="1" x14ac:dyDescent="0.15">
      <c r="A70" s="84"/>
      <c r="B70" s="60" t="s">
        <v>106</v>
      </c>
      <c r="C70" s="61"/>
      <c r="D70" s="41"/>
      <c r="E70" s="62">
        <f>SUM(E65:E69)</f>
        <v>568000</v>
      </c>
      <c r="F70" s="42"/>
      <c r="G70" s="40"/>
      <c r="H70" s="63">
        <f>SUM(H65:H69)</f>
        <v>568000</v>
      </c>
      <c r="I70" s="18"/>
    </row>
    <row r="71" spans="1:14" s="11" customFormat="1" ht="13.9" customHeight="1" x14ac:dyDescent="0.15">
      <c r="A71" s="92" t="s">
        <v>107</v>
      </c>
      <c r="B71" s="72" t="s">
        <v>108</v>
      </c>
      <c r="C71" s="17"/>
      <c r="D71" s="27"/>
      <c r="E71" s="58">
        <v>0</v>
      </c>
      <c r="F71" s="38"/>
      <c r="G71" s="59"/>
      <c r="H71" s="21">
        <v>0</v>
      </c>
      <c r="I71" s="18" t="s">
        <v>140</v>
      </c>
    </row>
    <row r="72" spans="1:14" s="11" customFormat="1" ht="13.9" customHeight="1" x14ac:dyDescent="0.15">
      <c r="A72" s="96"/>
      <c r="B72" s="73" t="s">
        <v>111</v>
      </c>
      <c r="C72" s="17"/>
      <c r="D72" s="27"/>
      <c r="E72" s="58">
        <v>800000</v>
      </c>
      <c r="F72" s="36"/>
      <c r="G72" s="59"/>
      <c r="H72" s="21">
        <v>0</v>
      </c>
      <c r="I72" s="22" t="s">
        <v>109</v>
      </c>
    </row>
    <row r="73" spans="1:14" s="11" customFormat="1" ht="13.9" customHeight="1" x14ac:dyDescent="0.15">
      <c r="A73" s="96"/>
      <c r="B73" s="74" t="s">
        <v>110</v>
      </c>
      <c r="C73" s="17"/>
      <c r="D73" s="27"/>
      <c r="E73" s="58">
        <v>200000</v>
      </c>
      <c r="F73" s="36"/>
      <c r="G73" s="59"/>
      <c r="H73" s="21">
        <v>0</v>
      </c>
      <c r="I73" s="18" t="s">
        <v>141</v>
      </c>
    </row>
    <row r="74" spans="1:14" s="11" customFormat="1" ht="13.9" customHeight="1" x14ac:dyDescent="0.15">
      <c r="A74" s="96"/>
      <c r="B74" s="73" t="s">
        <v>113</v>
      </c>
      <c r="C74" s="17"/>
      <c r="D74" s="27"/>
      <c r="E74" s="58">
        <v>800000</v>
      </c>
      <c r="F74" s="36"/>
      <c r="G74" s="59"/>
      <c r="H74" s="21">
        <v>0</v>
      </c>
      <c r="I74" s="18" t="s">
        <v>142</v>
      </c>
    </row>
    <row r="75" spans="1:14" s="11" customFormat="1" ht="13.9" customHeight="1" x14ac:dyDescent="0.15">
      <c r="A75" s="96"/>
      <c r="B75" s="73" t="s">
        <v>112</v>
      </c>
      <c r="C75" s="17"/>
      <c r="D75" s="27"/>
      <c r="E75" s="58">
        <v>4680000</v>
      </c>
      <c r="F75" s="36"/>
      <c r="G75" s="59"/>
      <c r="H75" s="21">
        <v>0</v>
      </c>
      <c r="I75" s="22" t="s">
        <v>134</v>
      </c>
    </row>
    <row r="76" spans="1:14" s="11" customFormat="1" ht="13.9" customHeight="1" x14ac:dyDescent="0.15">
      <c r="A76" s="96"/>
      <c r="B76" s="73" t="s">
        <v>135</v>
      </c>
      <c r="C76" s="17"/>
      <c r="D76" s="27"/>
      <c r="E76" s="58">
        <v>800000</v>
      </c>
      <c r="F76" s="36"/>
      <c r="G76" s="59"/>
      <c r="H76" s="21">
        <v>0</v>
      </c>
      <c r="I76" s="22" t="s">
        <v>143</v>
      </c>
    </row>
    <row r="77" spans="1:14" s="11" customFormat="1" ht="16.5" customHeight="1" x14ac:dyDescent="0.15">
      <c r="A77" s="96"/>
      <c r="B77" s="73"/>
      <c r="C77" s="17"/>
      <c r="D77" s="27"/>
      <c r="E77" s="58"/>
      <c r="F77" s="36"/>
      <c r="G77" s="59"/>
      <c r="H77" s="21">
        <v>0</v>
      </c>
      <c r="I77" s="18" t="s">
        <v>144</v>
      </c>
    </row>
    <row r="78" spans="1:14" s="11" customFormat="1" ht="13.9" customHeight="1" x14ac:dyDescent="0.15">
      <c r="A78" s="96"/>
      <c r="B78" s="74"/>
      <c r="C78" s="17"/>
      <c r="D78" s="27"/>
      <c r="E78" s="58"/>
      <c r="F78" s="36"/>
      <c r="G78" s="59"/>
      <c r="H78" s="21">
        <v>4080000</v>
      </c>
      <c r="I78" s="18" t="s">
        <v>145</v>
      </c>
    </row>
    <row r="79" spans="1:14" s="11" customFormat="1" ht="13.9" customHeight="1" x14ac:dyDescent="0.15">
      <c r="A79" s="96"/>
      <c r="B79" s="60" t="s">
        <v>114</v>
      </c>
      <c r="C79" s="61"/>
      <c r="D79" s="41"/>
      <c r="E79" s="62">
        <f>SUM(E71:E78)</f>
        <v>7280000</v>
      </c>
      <c r="F79" s="42"/>
      <c r="G79" s="40"/>
      <c r="H79" s="63">
        <f>SUM(H71:H78)</f>
        <v>4080000</v>
      </c>
      <c r="I79" s="18"/>
      <c r="K79" s="80" t="s">
        <v>146</v>
      </c>
      <c r="L79" s="81"/>
      <c r="M79" s="81"/>
      <c r="N79" s="81"/>
    </row>
    <row r="80" spans="1:14" s="11" customFormat="1" ht="13.9" customHeight="1" x14ac:dyDescent="0.15">
      <c r="A80" s="92" t="s">
        <v>115</v>
      </c>
      <c r="B80" s="64" t="s">
        <v>116</v>
      </c>
      <c r="C80" s="17">
        <v>3000</v>
      </c>
      <c r="D80" s="27">
        <v>103</v>
      </c>
      <c r="E80" s="58">
        <v>309000</v>
      </c>
      <c r="F80" s="36">
        <v>3000</v>
      </c>
      <c r="G80" s="59">
        <v>93</v>
      </c>
      <c r="H80" s="21">
        <v>279000</v>
      </c>
      <c r="I80" s="18"/>
    </row>
    <row r="81" spans="1:9" s="11" customFormat="1" ht="13.9" customHeight="1" x14ac:dyDescent="0.15">
      <c r="A81" s="96"/>
      <c r="B81" s="64" t="s">
        <v>117</v>
      </c>
      <c r="C81" s="17"/>
      <c r="D81" s="27"/>
      <c r="E81" s="58">
        <v>0</v>
      </c>
      <c r="F81" s="36"/>
      <c r="G81" s="59"/>
      <c r="H81" s="21">
        <v>0</v>
      </c>
      <c r="I81" s="18"/>
    </row>
    <row r="82" spans="1:9" s="11" customFormat="1" ht="16.899999999999999" customHeight="1" x14ac:dyDescent="0.15">
      <c r="A82" s="96"/>
      <c r="B82" s="64" t="s">
        <v>118</v>
      </c>
      <c r="C82" s="17"/>
      <c r="D82" s="27"/>
      <c r="E82" s="58">
        <v>600000</v>
      </c>
      <c r="F82" s="36"/>
      <c r="G82" s="59"/>
      <c r="H82" s="21">
        <v>0</v>
      </c>
      <c r="I82" s="18"/>
    </row>
    <row r="83" spans="1:9" s="11" customFormat="1" ht="13.9" customHeight="1" x14ac:dyDescent="0.15">
      <c r="A83" s="96"/>
      <c r="B83" s="64" t="s">
        <v>119</v>
      </c>
      <c r="C83" s="17"/>
      <c r="D83" s="27"/>
      <c r="E83" s="58">
        <v>8000</v>
      </c>
      <c r="F83" s="36"/>
      <c r="G83" s="59"/>
      <c r="H83" s="21">
        <v>8000</v>
      </c>
      <c r="I83" s="18"/>
    </row>
    <row r="84" spans="1:9" s="11" customFormat="1" ht="13.9" customHeight="1" x14ac:dyDescent="0.15">
      <c r="A84" s="97"/>
      <c r="B84" s="60" t="s">
        <v>120</v>
      </c>
      <c r="C84" s="61"/>
      <c r="D84" s="61"/>
      <c r="E84" s="63">
        <f>SUM(E80:E83)</f>
        <v>917000</v>
      </c>
      <c r="F84" s="42"/>
      <c r="G84" s="40"/>
      <c r="H84" s="63">
        <f>SUM(H80:H83)</f>
        <v>287000</v>
      </c>
      <c r="I84" s="18"/>
    </row>
    <row r="85" spans="1:9" s="11" customFormat="1" ht="16.899999999999999" customHeight="1" x14ac:dyDescent="0.15">
      <c r="A85" s="75" t="s">
        <v>121</v>
      </c>
      <c r="B85" s="68" t="s">
        <v>122</v>
      </c>
      <c r="C85" s="14"/>
      <c r="D85" s="14"/>
      <c r="E85" s="16">
        <v>0</v>
      </c>
      <c r="F85" s="38"/>
      <c r="G85" s="37"/>
      <c r="H85" s="16">
        <v>0</v>
      </c>
      <c r="I85" s="18"/>
    </row>
    <row r="86" spans="1:9" s="11" customFormat="1" ht="16.899999999999999" customHeight="1" x14ac:dyDescent="0.15">
      <c r="A86" s="76"/>
      <c r="B86" s="34" t="s">
        <v>123</v>
      </c>
      <c r="C86" s="35"/>
      <c r="D86" s="35"/>
      <c r="E86" s="44">
        <v>1030000</v>
      </c>
      <c r="F86" s="45"/>
      <c r="G86" s="43"/>
      <c r="H86" s="44">
        <v>1030000</v>
      </c>
      <c r="I86" s="77"/>
    </row>
    <row r="87" spans="1:9" s="11" customFormat="1" ht="16.899999999999999" customHeight="1" x14ac:dyDescent="0.15">
      <c r="A87" s="79" t="s">
        <v>124</v>
      </c>
      <c r="B87" s="78"/>
      <c r="C87" s="61"/>
      <c r="D87" s="61"/>
      <c r="E87" s="63">
        <f>SUM(E41,E53,E57,E59,E61,E64,E70,E79,E84,E85,E86)</f>
        <v>19792896</v>
      </c>
      <c r="F87" s="42"/>
      <c r="G87" s="40"/>
      <c r="H87" s="63">
        <f>SUM(H41,H53,H57,H59,H61,H64,H70,H79,H84,H85,H86)</f>
        <v>15085144</v>
      </c>
      <c r="I87" s="93"/>
    </row>
    <row r="88" spans="1:9" x14ac:dyDescent="0.15">
      <c r="A88" s="79" t="s">
        <v>125</v>
      </c>
      <c r="B88" s="78"/>
      <c r="C88" s="61"/>
      <c r="D88" s="61"/>
      <c r="E88" s="63">
        <f>E24-E87</f>
        <v>246112</v>
      </c>
      <c r="F88" s="42"/>
      <c r="G88" s="40"/>
      <c r="H88" s="63">
        <f>H24-H87</f>
        <v>2544856</v>
      </c>
      <c r="I88" s="94"/>
    </row>
    <row r="89" spans="1:9" x14ac:dyDescent="0.15">
      <c r="A89" s="79" t="s">
        <v>126</v>
      </c>
      <c r="B89" s="78"/>
      <c r="C89" s="61"/>
      <c r="D89" s="61"/>
      <c r="E89" s="63">
        <f>E26-E87</f>
        <v>1479203</v>
      </c>
      <c r="F89" s="42"/>
      <c r="G89" s="40"/>
      <c r="H89" s="63">
        <f>H26-H87</f>
        <v>3777947</v>
      </c>
      <c r="I89" s="95"/>
    </row>
  </sheetData>
  <mergeCells count="15">
    <mergeCell ref="A80:A84"/>
    <mergeCell ref="A71:A79"/>
    <mergeCell ref="K79:N79"/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</mergeCells>
  <phoneticPr fontId="3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収支予算書(案)</vt:lpstr>
      <vt:lpstr>'収支予算書(案)'!Print_Area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kumi matsuo</cp:lastModifiedBy>
  <cp:lastPrinted>2018-10-14T13:27:51Z</cp:lastPrinted>
  <dcterms:created xsi:type="dcterms:W3CDTF">2017-12-29T07:55:03Z</dcterms:created>
  <dcterms:modified xsi:type="dcterms:W3CDTF">2018-10-14T13:28:35Z</dcterms:modified>
</cp:coreProperties>
</file>