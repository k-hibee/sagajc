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高橋　佑輔\Dropbox\2021アジェンダ\予定者理事会\01\kyougi\0991-06K-100K(yosanan)\siryoh\singi\"/>
    </mc:Choice>
  </mc:AlternateContent>
  <xr:revisionPtr revIDLastSave="0" documentId="8_{46C18B3F-AC39-45A4-A46D-B3E5A58E2E3B}" xr6:coauthVersionLast="45" xr6:coauthVersionMax="45" xr10:uidLastSave="{00000000-0000-0000-0000-000000000000}"/>
  <bookViews>
    <workbookView xWindow="-120" yWindow="-120" windowWidth="29040" windowHeight="16440" activeTab="2" xr2:uid="{00000000-000D-0000-FFFF-FFFF00000000}"/>
  </bookViews>
  <sheets>
    <sheet name="収支予算書(案)" sheetId="2" r:id="rId1"/>
    <sheet name="収支予算書(案)2021" sheetId="3" r:id="rId2"/>
    <sheet name="収支予算書(案)2019-2021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1" i="4" l="1"/>
  <c r="E88" i="4"/>
  <c r="E86" i="4"/>
  <c r="E72" i="4"/>
  <c r="E66" i="4"/>
  <c r="E63" i="4"/>
  <c r="E61" i="4"/>
  <c r="E59" i="4"/>
  <c r="E55" i="4"/>
  <c r="E43" i="4"/>
  <c r="E91" i="4" s="1"/>
  <c r="E93" i="4" s="1"/>
  <c r="E29" i="2"/>
  <c r="E26" i="4"/>
  <c r="E28" i="4" s="1"/>
  <c r="K88" i="4"/>
  <c r="H88" i="4"/>
  <c r="H86" i="4"/>
  <c r="K82" i="4"/>
  <c r="K86" i="4" s="1"/>
  <c r="K81" i="4"/>
  <c r="H81" i="4"/>
  <c r="K72" i="4"/>
  <c r="H72" i="4"/>
  <c r="K66" i="4"/>
  <c r="H66" i="4"/>
  <c r="K63" i="4"/>
  <c r="H63" i="4"/>
  <c r="K61" i="4"/>
  <c r="H61" i="4"/>
  <c r="K59" i="4"/>
  <c r="H59" i="4"/>
  <c r="K55" i="4"/>
  <c r="H55" i="4"/>
  <c r="H43" i="4"/>
  <c r="K42" i="4"/>
  <c r="K40" i="4"/>
  <c r="K39" i="4"/>
  <c r="K37" i="4"/>
  <c r="K36" i="4"/>
  <c r="K35" i="4"/>
  <c r="K34" i="4"/>
  <c r="K32" i="4"/>
  <c r="K31" i="4"/>
  <c r="H31" i="4"/>
  <c r="G31" i="4"/>
  <c r="F31" i="4"/>
  <c r="B31" i="4"/>
  <c r="A31" i="4"/>
  <c r="K20" i="4"/>
  <c r="K6" i="4"/>
  <c r="K5" i="4"/>
  <c r="K26" i="4" l="1"/>
  <c r="E92" i="4"/>
  <c r="H91" i="4"/>
  <c r="H93" i="4" s="1"/>
  <c r="K43" i="4"/>
  <c r="K91" i="4" s="1"/>
  <c r="K92" i="4" s="1"/>
  <c r="K28" i="4"/>
  <c r="B30" i="3"/>
  <c r="H5" i="3"/>
  <c r="H6" i="3"/>
  <c r="H19" i="3"/>
  <c r="H25" i="3" l="1"/>
  <c r="H92" i="4"/>
  <c r="K93" i="4"/>
  <c r="H27" i="3"/>
  <c r="H87" i="3"/>
  <c r="E87" i="3"/>
  <c r="H85" i="3"/>
  <c r="E85" i="3"/>
  <c r="H81" i="3"/>
  <c r="H80" i="3"/>
  <c r="E80" i="3"/>
  <c r="H71" i="3"/>
  <c r="E71" i="3"/>
  <c r="H65" i="3"/>
  <c r="E65" i="3"/>
  <c r="H62" i="3"/>
  <c r="E62" i="3"/>
  <c r="H60" i="3"/>
  <c r="E60" i="3"/>
  <c r="H58" i="3"/>
  <c r="E58" i="3"/>
  <c r="H54" i="3"/>
  <c r="E54" i="3"/>
  <c r="E42" i="3"/>
  <c r="H41" i="3"/>
  <c r="H39" i="3"/>
  <c r="H38" i="3"/>
  <c r="H36" i="3"/>
  <c r="H35" i="3"/>
  <c r="H34" i="3"/>
  <c r="H33" i="3"/>
  <c r="H31" i="3"/>
  <c r="H30" i="3"/>
  <c r="E30" i="3"/>
  <c r="D30" i="3"/>
  <c r="C30" i="3"/>
  <c r="A30" i="3"/>
  <c r="H42" i="3" l="1"/>
  <c r="H90" i="3" s="1"/>
  <c r="H92" i="3" s="1"/>
  <c r="E90" i="3"/>
  <c r="E92" i="3" s="1"/>
  <c r="H80" i="2"/>
  <c r="H91" i="3" l="1"/>
  <c r="E91" i="3"/>
  <c r="H40" i="2"/>
  <c r="H33" i="2"/>
  <c r="H34" i="2"/>
  <c r="H35" i="2"/>
  <c r="H37" i="2"/>
  <c r="H38" i="2"/>
  <c r="H32" i="2"/>
  <c r="H30" i="2"/>
  <c r="H19" i="2"/>
  <c r="H86" i="2" l="1"/>
  <c r="H6" i="2" l="1"/>
  <c r="H5" i="2"/>
  <c r="E86" i="2" l="1"/>
  <c r="H84" i="2" l="1"/>
  <c r="E84" i="2"/>
  <c r="H79" i="2"/>
  <c r="E79" i="2"/>
  <c r="H70" i="2"/>
  <c r="E70" i="2"/>
  <c r="H64" i="2"/>
  <c r="E64" i="2"/>
  <c r="H61" i="2"/>
  <c r="E61" i="2"/>
  <c r="H59" i="2"/>
  <c r="E59" i="2"/>
  <c r="H57" i="2"/>
  <c r="E57" i="2"/>
  <c r="H53" i="2"/>
  <c r="E53" i="2"/>
  <c r="H41" i="2"/>
  <c r="E41" i="2"/>
  <c r="H29" i="2"/>
  <c r="D29" i="2"/>
  <c r="C29" i="2"/>
  <c r="B29" i="2"/>
  <c r="A29" i="2"/>
  <c r="H24" i="2"/>
  <c r="E24" i="2"/>
  <c r="E89" i="2" l="1"/>
  <c r="H89" i="2"/>
  <c r="H90" i="2" s="1"/>
  <c r="E90" i="2" l="1"/>
  <c r="E26" i="2"/>
  <c r="E91" i="2" s="1"/>
  <c r="H26" i="2" s="1"/>
  <c r="H91" i="2" s="1"/>
</calcChain>
</file>

<file path=xl/sharedStrings.xml><?xml version="1.0" encoding="utf-8"?>
<sst xmlns="http://schemas.openxmlformats.org/spreadsheetml/2006/main" count="487" uniqueCount="180">
  <si>
    <t>○収入の部</t>
    <rPh sb="1" eb="3">
      <t>シュウニュウ</t>
    </rPh>
    <rPh sb="4" eb="5">
      <t>ブ</t>
    </rPh>
    <phoneticPr fontId="4"/>
  </si>
  <si>
    <t>（単位：円）　　　</t>
    <phoneticPr fontId="4"/>
  </si>
  <si>
    <t>項　目</t>
    <rPh sb="0" eb="1">
      <t>コウ</t>
    </rPh>
    <rPh sb="2" eb="3">
      <t>メ</t>
    </rPh>
    <phoneticPr fontId="4"/>
  </si>
  <si>
    <t>勘 定 科 目</t>
    <rPh sb="0" eb="1">
      <t>カン</t>
    </rPh>
    <rPh sb="2" eb="3">
      <t>サダム</t>
    </rPh>
    <rPh sb="4" eb="5">
      <t>カ</t>
    </rPh>
    <rPh sb="6" eb="7">
      <t>メ</t>
    </rPh>
    <phoneticPr fontId="4"/>
  </si>
  <si>
    <t>単価</t>
    <rPh sb="0" eb="2">
      <t>タンカ</t>
    </rPh>
    <phoneticPr fontId="4"/>
  </si>
  <si>
    <t>人員</t>
    <rPh sb="0" eb="2">
      <t>ジンイン</t>
    </rPh>
    <phoneticPr fontId="4"/>
  </si>
  <si>
    <t>摘　要</t>
    <rPh sb="0" eb="1">
      <t>テキ</t>
    </rPh>
    <rPh sb="2" eb="3">
      <t>カナメ</t>
    </rPh>
    <phoneticPr fontId="4"/>
  </si>
  <si>
    <t>受取入会金</t>
    <rPh sb="0" eb="2">
      <t>ウケトリ</t>
    </rPh>
    <rPh sb="2" eb="5">
      <t>ニュウカイキン</t>
    </rPh>
    <phoneticPr fontId="4"/>
  </si>
  <si>
    <t>入会金</t>
    <rPh sb="0" eb="3">
      <t>ニュウカイキン</t>
    </rPh>
    <phoneticPr fontId="4"/>
  </si>
  <si>
    <t>受取会費</t>
    <rPh sb="0" eb="2">
      <t>ウケトリ</t>
    </rPh>
    <rPh sb="2" eb="4">
      <t>カイヒ</t>
    </rPh>
    <phoneticPr fontId="4"/>
  </si>
  <si>
    <t>正会員会費</t>
    <rPh sb="0" eb="3">
      <t>セイカイイン</t>
    </rPh>
    <rPh sb="3" eb="5">
      <t>カイヒ</t>
    </rPh>
    <phoneticPr fontId="4"/>
  </si>
  <si>
    <t>賛助会員会費(法人)</t>
    <rPh sb="2" eb="4">
      <t>カイイン</t>
    </rPh>
    <rPh sb="7" eb="9">
      <t>ホウジン</t>
    </rPh>
    <phoneticPr fontId="4"/>
  </si>
  <si>
    <t>賛助会員会費(個人)</t>
    <rPh sb="2" eb="4">
      <t>カイイン</t>
    </rPh>
    <rPh sb="7" eb="9">
      <t>コジン</t>
    </rPh>
    <phoneticPr fontId="4"/>
  </si>
  <si>
    <t>事業収益</t>
    <rPh sb="0" eb="2">
      <t>ジギョウ</t>
    </rPh>
    <rPh sb="2" eb="4">
      <t>シュウエキ</t>
    </rPh>
    <phoneticPr fontId="4"/>
  </si>
  <si>
    <t>佐賀城下栄の国まつり協賛金</t>
    <rPh sb="0" eb="2">
      <t>サガ</t>
    </rPh>
    <rPh sb="2" eb="4">
      <t>ジョウカ</t>
    </rPh>
    <rPh sb="4" eb="5">
      <t>サカエ</t>
    </rPh>
    <rPh sb="6" eb="7">
      <t>クニ</t>
    </rPh>
    <rPh sb="10" eb="13">
      <t>キョウサンキン</t>
    </rPh>
    <phoneticPr fontId="4"/>
  </si>
  <si>
    <t>受取補助金</t>
    <rPh sb="0" eb="2">
      <t>ウケトリ</t>
    </rPh>
    <rPh sb="2" eb="5">
      <t>ホジョキン</t>
    </rPh>
    <phoneticPr fontId="4"/>
  </si>
  <si>
    <t>地方公共団体補助金</t>
    <rPh sb="0" eb="2">
      <t>チホウ</t>
    </rPh>
    <rPh sb="2" eb="4">
      <t>コウキョウ</t>
    </rPh>
    <rPh sb="4" eb="6">
      <t>ダンタイ</t>
    </rPh>
    <rPh sb="6" eb="9">
      <t>ホジョキン</t>
    </rPh>
    <phoneticPr fontId="4"/>
  </si>
  <si>
    <t>佐賀城下栄の国まつり補助金</t>
    <rPh sb="0" eb="2">
      <t>サガ</t>
    </rPh>
    <rPh sb="2" eb="4">
      <t>ジョウカ</t>
    </rPh>
    <rPh sb="4" eb="5">
      <t>サカエ</t>
    </rPh>
    <rPh sb="6" eb="7">
      <t>クニ</t>
    </rPh>
    <rPh sb="10" eb="13">
      <t>ホジョキン</t>
    </rPh>
    <phoneticPr fontId="4"/>
  </si>
  <si>
    <t>雑収益</t>
    <rPh sb="0" eb="1">
      <t>ザツ</t>
    </rPh>
    <rPh sb="1" eb="3">
      <t>シュウエキ</t>
    </rPh>
    <phoneticPr fontId="4"/>
  </si>
  <si>
    <t>受取利息</t>
    <rPh sb="0" eb="2">
      <t>ウケトリ</t>
    </rPh>
    <rPh sb="2" eb="4">
      <t>リソク</t>
    </rPh>
    <phoneticPr fontId="4"/>
  </si>
  <si>
    <t>定期利息</t>
    <rPh sb="0" eb="2">
      <t>テイキ</t>
    </rPh>
    <rPh sb="2" eb="4">
      <t>リソク</t>
    </rPh>
    <phoneticPr fontId="4"/>
  </si>
  <si>
    <t>佐賀ブロック協議会事務委託費</t>
    <rPh sb="0" eb="2">
      <t>サガ</t>
    </rPh>
    <rPh sb="6" eb="9">
      <t>キョウギカイ</t>
    </rPh>
    <rPh sb="9" eb="11">
      <t>ジム</t>
    </rPh>
    <rPh sb="11" eb="13">
      <t>イタク</t>
    </rPh>
    <rPh sb="13" eb="14">
      <t>ヒ</t>
    </rPh>
    <phoneticPr fontId="4"/>
  </si>
  <si>
    <t>シニア・クラブ事務委託費</t>
    <rPh sb="7" eb="9">
      <t>ジム</t>
    </rPh>
    <rPh sb="9" eb="11">
      <t>イタク</t>
    </rPh>
    <rPh sb="11" eb="12">
      <t>ヒ</t>
    </rPh>
    <phoneticPr fontId="4"/>
  </si>
  <si>
    <t>卒業生記念品代</t>
    <rPh sb="0" eb="3">
      <t>ソツギョウセイ</t>
    </rPh>
    <rPh sb="3" eb="6">
      <t>キネンヒン</t>
    </rPh>
    <rPh sb="6" eb="7">
      <t>ダイ</t>
    </rPh>
    <phoneticPr fontId="4"/>
  </si>
  <si>
    <t>卒業生からの記念品代</t>
    <rPh sb="0" eb="3">
      <t>ソツギョウセイ</t>
    </rPh>
    <rPh sb="6" eb="9">
      <t>キネンヒン</t>
    </rPh>
    <rPh sb="9" eb="10">
      <t>ダイ</t>
    </rPh>
    <phoneticPr fontId="4"/>
  </si>
  <si>
    <t>ジュース自販機収入</t>
    <rPh sb="7" eb="9">
      <t>シュウニュウ</t>
    </rPh>
    <phoneticPr fontId="4"/>
  </si>
  <si>
    <t>その他</t>
    <rPh sb="2" eb="3">
      <t>タ</t>
    </rPh>
    <phoneticPr fontId="4"/>
  </si>
  <si>
    <t>定期預金解約</t>
    <rPh sb="0" eb="2">
      <t>テイキ</t>
    </rPh>
    <rPh sb="2" eb="4">
      <t>ヨキン</t>
    </rPh>
    <rPh sb="4" eb="6">
      <t>カイヤク</t>
    </rPh>
    <phoneticPr fontId="4"/>
  </si>
  <si>
    <t>減価償却積立預金繰入収入</t>
    <rPh sb="0" eb="2">
      <t>ゲンカ</t>
    </rPh>
    <rPh sb="2" eb="4">
      <t>ショウキャク</t>
    </rPh>
    <rPh sb="4" eb="6">
      <t>ツミタテ</t>
    </rPh>
    <rPh sb="6" eb="8">
      <t>ヨキン</t>
    </rPh>
    <rPh sb="8" eb="10">
      <t>クリイレ</t>
    </rPh>
    <rPh sb="10" eb="12">
      <t>シュウニュウ</t>
    </rPh>
    <phoneticPr fontId="4"/>
  </si>
  <si>
    <t>周年事業積立預金繰入収入</t>
    <rPh sb="0" eb="2">
      <t>シュウネン</t>
    </rPh>
    <rPh sb="2" eb="4">
      <t>ジギョウ</t>
    </rPh>
    <rPh sb="4" eb="6">
      <t>ツミタテ</t>
    </rPh>
    <rPh sb="6" eb="8">
      <t>ヨキン</t>
    </rPh>
    <rPh sb="8" eb="10">
      <t>クリイレ</t>
    </rPh>
    <rPh sb="10" eb="12">
      <t>シュウニュウ</t>
    </rPh>
    <phoneticPr fontId="4"/>
  </si>
  <si>
    <t>当期収入合計（Ａ）</t>
    <rPh sb="0" eb="2">
      <t>トウキ</t>
    </rPh>
    <rPh sb="2" eb="4">
      <t>シュウニュウ</t>
    </rPh>
    <rPh sb="4" eb="6">
      <t>ゴウケイ</t>
    </rPh>
    <phoneticPr fontId="4"/>
  </si>
  <si>
    <t>前期繰越収支差額</t>
    <rPh sb="0" eb="2">
      <t>ゼンキ</t>
    </rPh>
    <rPh sb="2" eb="4">
      <t>クリコシ</t>
    </rPh>
    <rPh sb="4" eb="6">
      <t>シュウシ</t>
    </rPh>
    <rPh sb="6" eb="8">
      <t>サガク</t>
    </rPh>
    <phoneticPr fontId="4"/>
  </si>
  <si>
    <t>前年度の流動資産から流動負債を差引いた金額</t>
    <rPh sb="0" eb="3">
      <t>ゼンネンド</t>
    </rPh>
    <rPh sb="4" eb="6">
      <t>リュウドウ</t>
    </rPh>
    <rPh sb="6" eb="8">
      <t>シサン</t>
    </rPh>
    <rPh sb="10" eb="12">
      <t>リュウドウ</t>
    </rPh>
    <rPh sb="12" eb="14">
      <t>フサイ</t>
    </rPh>
    <rPh sb="15" eb="17">
      <t>サシヒ</t>
    </rPh>
    <rPh sb="19" eb="21">
      <t>キンガク</t>
    </rPh>
    <phoneticPr fontId="4"/>
  </si>
  <si>
    <t>収入合計（Ｂ）</t>
    <rPh sb="0" eb="1">
      <t>シュウ</t>
    </rPh>
    <rPh sb="1" eb="2">
      <t>ニュウ</t>
    </rPh>
    <rPh sb="2" eb="3">
      <t>ゴウ</t>
    </rPh>
    <rPh sb="3" eb="4">
      <t>ケイ</t>
    </rPh>
    <phoneticPr fontId="4"/>
  </si>
  <si>
    <t>○支出の部</t>
    <rPh sb="1" eb="3">
      <t>シシュツ</t>
    </rPh>
    <rPh sb="4" eb="5">
      <t>ブ</t>
    </rPh>
    <phoneticPr fontId="4"/>
  </si>
  <si>
    <t>支払負担金</t>
    <rPh sb="0" eb="2">
      <t>シハライ</t>
    </rPh>
    <rPh sb="2" eb="5">
      <t>フタンキン</t>
    </rPh>
    <phoneticPr fontId="4"/>
  </si>
  <si>
    <t>ＪＣＩ会費</t>
    <rPh sb="3" eb="5">
      <t>カイヒ</t>
    </rPh>
    <phoneticPr fontId="4"/>
  </si>
  <si>
    <t>日本ＪＣ基本金</t>
    <rPh sb="0" eb="2">
      <t>ニッポン</t>
    </rPh>
    <rPh sb="4" eb="6">
      <t>キホン</t>
    </rPh>
    <rPh sb="6" eb="7">
      <t>キン</t>
    </rPh>
    <phoneticPr fontId="4"/>
  </si>
  <si>
    <t>日本ＪＣ付加金</t>
    <rPh sb="0" eb="2">
      <t>ニッポン</t>
    </rPh>
    <rPh sb="4" eb="6">
      <t>フカ</t>
    </rPh>
    <rPh sb="6" eb="7">
      <t>キン</t>
    </rPh>
    <phoneticPr fontId="4"/>
  </si>
  <si>
    <t>国際協力資金</t>
    <rPh sb="0" eb="2">
      <t>コクサイ</t>
    </rPh>
    <rPh sb="2" eb="4">
      <t>キョウリョク</t>
    </rPh>
    <rPh sb="4" eb="6">
      <t>シキン</t>
    </rPh>
    <phoneticPr fontId="4"/>
  </si>
  <si>
    <t>ＷｅＢｅｌｉｅｖｅ購読料</t>
    <rPh sb="9" eb="12">
      <t>コウドクリョウ</t>
    </rPh>
    <phoneticPr fontId="4"/>
  </si>
  <si>
    <t>九地区運営負担金</t>
    <rPh sb="0" eb="1">
      <t>キュウ</t>
    </rPh>
    <rPh sb="1" eb="3">
      <t>チク</t>
    </rPh>
    <rPh sb="3" eb="5">
      <t>ウンエイ</t>
    </rPh>
    <rPh sb="5" eb="8">
      <t>フタンキン</t>
    </rPh>
    <phoneticPr fontId="4"/>
  </si>
  <si>
    <t>運営負担金2,000円・地区大会登録料2,000円</t>
    <rPh sb="0" eb="2">
      <t>ウンエイ</t>
    </rPh>
    <rPh sb="2" eb="5">
      <t>フタンキン</t>
    </rPh>
    <rPh sb="10" eb="11">
      <t>エン</t>
    </rPh>
    <rPh sb="12" eb="14">
      <t>チク</t>
    </rPh>
    <rPh sb="14" eb="16">
      <t>タイカイ</t>
    </rPh>
    <rPh sb="16" eb="18">
      <t>トウロク</t>
    </rPh>
    <rPh sb="18" eb="19">
      <t>リョウ</t>
    </rPh>
    <rPh sb="24" eb="25">
      <t>エン</t>
    </rPh>
    <phoneticPr fontId="4"/>
  </si>
  <si>
    <t>佐賀ブロックＬＯＭ負担金</t>
    <rPh sb="0" eb="2">
      <t>サガ</t>
    </rPh>
    <rPh sb="9" eb="12">
      <t>フタンキン</t>
    </rPh>
    <phoneticPr fontId="4"/>
  </si>
  <si>
    <t>佐賀ブロック会員負担金</t>
    <rPh sb="0" eb="2">
      <t>サガ</t>
    </rPh>
    <rPh sb="6" eb="8">
      <t>カイイン</t>
    </rPh>
    <rPh sb="8" eb="11">
      <t>フタンキン</t>
    </rPh>
    <phoneticPr fontId="4"/>
  </si>
  <si>
    <t>出向費(日本ＪＣ)</t>
    <rPh sb="0" eb="2">
      <t>シュッコウ</t>
    </rPh>
    <rPh sb="2" eb="3">
      <t>ヒ</t>
    </rPh>
    <rPh sb="4" eb="6">
      <t>ニホン</t>
    </rPh>
    <phoneticPr fontId="4"/>
  </si>
  <si>
    <t>出向費(九州地区)</t>
    <rPh sb="0" eb="2">
      <t>シュッコウ</t>
    </rPh>
    <rPh sb="2" eb="3">
      <t>ヒ</t>
    </rPh>
    <rPh sb="4" eb="6">
      <t>キュウシュウ</t>
    </rPh>
    <rPh sb="6" eb="8">
      <t>チク</t>
    </rPh>
    <phoneticPr fontId="4"/>
  </si>
  <si>
    <t>佐賀ＪＣシニア・クラブ入会金</t>
    <rPh sb="0" eb="2">
      <t>サガ</t>
    </rPh>
    <rPh sb="11" eb="14">
      <t>ニュウカイキン</t>
    </rPh>
    <phoneticPr fontId="4"/>
  </si>
  <si>
    <t>支払負担金　計</t>
    <rPh sb="0" eb="2">
      <t>シハライ</t>
    </rPh>
    <rPh sb="2" eb="5">
      <t>フタンキン</t>
    </rPh>
    <rPh sb="6" eb="7">
      <t>ケイ</t>
    </rPh>
    <phoneticPr fontId="4"/>
  </si>
  <si>
    <t>事務費</t>
    <rPh sb="0" eb="2">
      <t>ジム</t>
    </rPh>
    <rPh sb="2" eb="3">
      <t>ヒ</t>
    </rPh>
    <phoneticPr fontId="4"/>
  </si>
  <si>
    <t>給料手当</t>
    <rPh sb="0" eb="2">
      <t>キュウリョウ</t>
    </rPh>
    <rPh sb="2" eb="4">
      <t>テアテ</t>
    </rPh>
    <phoneticPr fontId="4"/>
  </si>
  <si>
    <t>福利厚生費</t>
    <rPh sb="0" eb="2">
      <t>フクリ</t>
    </rPh>
    <rPh sb="2" eb="5">
      <t>コウセイヒ</t>
    </rPh>
    <phoneticPr fontId="4"/>
  </si>
  <si>
    <t>通信運搬費</t>
    <rPh sb="0" eb="2">
      <t>ツウシン</t>
    </rPh>
    <rPh sb="2" eb="4">
      <t>ウンパン</t>
    </rPh>
    <rPh sb="4" eb="5">
      <t>ヒ</t>
    </rPh>
    <phoneticPr fontId="4"/>
  </si>
  <si>
    <t>広報費</t>
    <rPh sb="0" eb="2">
      <t>コウホウ</t>
    </rPh>
    <rPh sb="2" eb="3">
      <t>ヒ</t>
    </rPh>
    <phoneticPr fontId="4"/>
  </si>
  <si>
    <t>WEBサイト更新制作料</t>
    <rPh sb="6" eb="8">
      <t>コウシン</t>
    </rPh>
    <rPh sb="8" eb="10">
      <t>セイサク</t>
    </rPh>
    <rPh sb="10" eb="11">
      <t>リョウ</t>
    </rPh>
    <phoneticPr fontId="4"/>
  </si>
  <si>
    <t>印刷製本費</t>
    <rPh sb="0" eb="2">
      <t>インサツ</t>
    </rPh>
    <rPh sb="2" eb="4">
      <t>セイホン</t>
    </rPh>
    <rPh sb="4" eb="5">
      <t>ヒ</t>
    </rPh>
    <phoneticPr fontId="4"/>
  </si>
  <si>
    <t>消耗品費</t>
    <rPh sb="0" eb="2">
      <t>ショウモウ</t>
    </rPh>
    <rPh sb="2" eb="3">
      <t>ヒン</t>
    </rPh>
    <rPh sb="3" eb="4">
      <t>ヒ</t>
    </rPh>
    <phoneticPr fontId="4"/>
  </si>
  <si>
    <t>事務用品・ネームプレート・JCバッジ・卒業生記念品代</t>
    <rPh sb="0" eb="2">
      <t>ジム</t>
    </rPh>
    <rPh sb="2" eb="4">
      <t>ヨウヒン</t>
    </rPh>
    <rPh sb="19" eb="21">
      <t>ソツギョウ</t>
    </rPh>
    <rPh sb="21" eb="22">
      <t>セイ</t>
    </rPh>
    <rPh sb="22" eb="25">
      <t>キネンヒン</t>
    </rPh>
    <rPh sb="25" eb="26">
      <t>ダイ</t>
    </rPh>
    <phoneticPr fontId="4"/>
  </si>
  <si>
    <t>光熱水料費</t>
    <rPh sb="0" eb="2">
      <t>コウネツ</t>
    </rPh>
    <rPh sb="2" eb="5">
      <t>スイリョウヒ</t>
    </rPh>
    <phoneticPr fontId="4"/>
  </si>
  <si>
    <t>支払手数料</t>
    <rPh sb="0" eb="2">
      <t>シハライ</t>
    </rPh>
    <rPh sb="2" eb="5">
      <t>テスウリョウ</t>
    </rPh>
    <phoneticPr fontId="4"/>
  </si>
  <si>
    <t>保険料</t>
    <rPh sb="0" eb="3">
      <t>ホケンリョウ</t>
    </rPh>
    <phoneticPr fontId="4"/>
  </si>
  <si>
    <t>JC会館火災保険料</t>
    <rPh sb="2" eb="4">
      <t>カイカン</t>
    </rPh>
    <rPh sb="4" eb="6">
      <t>カサイ</t>
    </rPh>
    <rPh sb="6" eb="9">
      <t>ホケンリョウ</t>
    </rPh>
    <phoneticPr fontId="4"/>
  </si>
  <si>
    <t>租税公課</t>
    <rPh sb="0" eb="2">
      <t>ソゼイ</t>
    </rPh>
    <rPh sb="2" eb="4">
      <t>コウカ</t>
    </rPh>
    <phoneticPr fontId="4"/>
  </si>
  <si>
    <t>法人税</t>
    <rPh sb="0" eb="3">
      <t>ホウジンゼイ</t>
    </rPh>
    <phoneticPr fontId="4"/>
  </si>
  <si>
    <t>法人市民税60,000円・法人県民税21,000円</t>
    <rPh sb="0" eb="2">
      <t>ホウジン</t>
    </rPh>
    <rPh sb="2" eb="5">
      <t>シミンゼイ</t>
    </rPh>
    <rPh sb="11" eb="12">
      <t>エン</t>
    </rPh>
    <rPh sb="13" eb="15">
      <t>ホウジン</t>
    </rPh>
    <rPh sb="15" eb="18">
      <t>ケンミンゼイ</t>
    </rPh>
    <rPh sb="24" eb="25">
      <t>エン</t>
    </rPh>
    <phoneticPr fontId="4"/>
  </si>
  <si>
    <t>事務費　計</t>
    <rPh sb="0" eb="2">
      <t>ジム</t>
    </rPh>
    <rPh sb="2" eb="3">
      <t>ヒ</t>
    </rPh>
    <rPh sb="4" eb="5">
      <t>ケイ</t>
    </rPh>
    <phoneticPr fontId="4"/>
  </si>
  <si>
    <t>雑費</t>
    <rPh sb="0" eb="2">
      <t>ザッピ</t>
    </rPh>
    <phoneticPr fontId="4"/>
  </si>
  <si>
    <t>新聞代・事務用品以外の消耗品</t>
    <rPh sb="0" eb="2">
      <t>シンブン</t>
    </rPh>
    <rPh sb="2" eb="3">
      <t>ダイ</t>
    </rPh>
    <rPh sb="4" eb="6">
      <t>ジム</t>
    </rPh>
    <rPh sb="6" eb="8">
      <t>ヨウヒン</t>
    </rPh>
    <rPh sb="8" eb="10">
      <t>イガイ</t>
    </rPh>
    <rPh sb="11" eb="14">
      <t>ショウモウヒン</t>
    </rPh>
    <phoneticPr fontId="4"/>
  </si>
  <si>
    <t>警備料</t>
    <rPh sb="0" eb="2">
      <t>ケイビ</t>
    </rPh>
    <rPh sb="2" eb="3">
      <t>リョウ</t>
    </rPh>
    <phoneticPr fontId="4"/>
  </si>
  <si>
    <t>JC会館警備料</t>
    <rPh sb="2" eb="4">
      <t>カイカン</t>
    </rPh>
    <rPh sb="4" eb="6">
      <t>ケイビ</t>
    </rPh>
    <rPh sb="6" eb="7">
      <t>リョウ</t>
    </rPh>
    <phoneticPr fontId="4"/>
  </si>
  <si>
    <t>会館維持費</t>
    <rPh sb="0" eb="2">
      <t>カイカン</t>
    </rPh>
    <rPh sb="2" eb="5">
      <t>イジヒ</t>
    </rPh>
    <phoneticPr fontId="4"/>
  </si>
  <si>
    <t>雑費　計</t>
    <rPh sb="0" eb="2">
      <t>ザッピ</t>
    </rPh>
    <rPh sb="3" eb="4">
      <t>ケイ</t>
    </rPh>
    <phoneticPr fontId="4"/>
  </si>
  <si>
    <t>顧問料</t>
    <rPh sb="0" eb="2">
      <t>コモン</t>
    </rPh>
    <rPh sb="2" eb="3">
      <t>リョウ</t>
    </rPh>
    <phoneticPr fontId="4"/>
  </si>
  <si>
    <t>会計顧問料</t>
    <rPh sb="0" eb="2">
      <t>カイケイ</t>
    </rPh>
    <rPh sb="2" eb="4">
      <t>コモン</t>
    </rPh>
    <rPh sb="4" eb="5">
      <t>リョウ</t>
    </rPh>
    <phoneticPr fontId="4"/>
  </si>
  <si>
    <t>顧問料　計</t>
    <rPh sb="0" eb="2">
      <t>コモン</t>
    </rPh>
    <rPh sb="2" eb="3">
      <t>リョウ</t>
    </rPh>
    <rPh sb="4" eb="5">
      <t>ケイ</t>
    </rPh>
    <phoneticPr fontId="4"/>
  </si>
  <si>
    <t>会議費</t>
    <rPh sb="0" eb="3">
      <t>カイギヒ</t>
    </rPh>
    <phoneticPr fontId="4"/>
  </si>
  <si>
    <t>会場使用料</t>
    <rPh sb="0" eb="2">
      <t>カイジョウ</t>
    </rPh>
    <rPh sb="2" eb="5">
      <t>シヨウリョウ</t>
    </rPh>
    <phoneticPr fontId="4"/>
  </si>
  <si>
    <t>会場使用料・西神野運動広場駐車場使用料</t>
    <rPh sb="0" eb="2">
      <t>カイジョウ</t>
    </rPh>
    <rPh sb="2" eb="5">
      <t>シヨウリョウ</t>
    </rPh>
    <rPh sb="6" eb="7">
      <t>ニシ</t>
    </rPh>
    <rPh sb="7" eb="8">
      <t>カミ</t>
    </rPh>
    <rPh sb="8" eb="9">
      <t>ノ</t>
    </rPh>
    <rPh sb="9" eb="11">
      <t>ウンドウ</t>
    </rPh>
    <rPh sb="11" eb="13">
      <t>ヒロバ</t>
    </rPh>
    <rPh sb="13" eb="15">
      <t>チュウシャ</t>
    </rPh>
    <rPh sb="15" eb="16">
      <t>ジョウ</t>
    </rPh>
    <rPh sb="16" eb="19">
      <t>シヨウリョウ</t>
    </rPh>
    <phoneticPr fontId="4"/>
  </si>
  <si>
    <t>会議費　計</t>
    <rPh sb="0" eb="3">
      <t>カイギヒ</t>
    </rPh>
    <rPh sb="4" eb="5">
      <t>ケイ</t>
    </rPh>
    <phoneticPr fontId="4"/>
  </si>
  <si>
    <t>賃借料</t>
    <rPh sb="0" eb="3">
      <t>チンシャクリョウ</t>
    </rPh>
    <phoneticPr fontId="4"/>
  </si>
  <si>
    <t>土地賃借料</t>
    <rPh sb="0" eb="2">
      <t>トチ</t>
    </rPh>
    <rPh sb="2" eb="5">
      <t>チンシャクリョウ</t>
    </rPh>
    <phoneticPr fontId="4"/>
  </si>
  <si>
    <t>JC会館土地賃借料</t>
    <rPh sb="2" eb="4">
      <t>カイカン</t>
    </rPh>
    <rPh sb="4" eb="6">
      <t>トチ</t>
    </rPh>
    <rPh sb="6" eb="9">
      <t>チンシャクリョウ</t>
    </rPh>
    <phoneticPr fontId="4"/>
  </si>
  <si>
    <t>リース料</t>
    <rPh sb="3" eb="4">
      <t>リョウ</t>
    </rPh>
    <phoneticPr fontId="4"/>
  </si>
  <si>
    <t>賃借料　計</t>
    <rPh sb="0" eb="3">
      <t>チンシャクリョウ</t>
    </rPh>
    <rPh sb="4" eb="5">
      <t>ケイ</t>
    </rPh>
    <phoneticPr fontId="4"/>
  </si>
  <si>
    <t>渉外費</t>
    <rPh sb="0" eb="2">
      <t>ショウガイ</t>
    </rPh>
    <rPh sb="2" eb="3">
      <t>ヒ</t>
    </rPh>
    <phoneticPr fontId="4"/>
  </si>
  <si>
    <t>御樽代・お土産代</t>
    <rPh sb="0" eb="1">
      <t>オン</t>
    </rPh>
    <rPh sb="1" eb="2">
      <t>タル</t>
    </rPh>
    <rPh sb="2" eb="3">
      <t>ダイ</t>
    </rPh>
    <rPh sb="5" eb="7">
      <t>ミヤゲ</t>
    </rPh>
    <rPh sb="7" eb="8">
      <t>ダイ</t>
    </rPh>
    <phoneticPr fontId="4"/>
  </si>
  <si>
    <t>慶弔費</t>
    <rPh sb="0" eb="2">
      <t>ケイチョウ</t>
    </rPh>
    <rPh sb="2" eb="3">
      <t>ヒ</t>
    </rPh>
    <phoneticPr fontId="4"/>
  </si>
  <si>
    <t>理事長活動費</t>
    <rPh sb="0" eb="3">
      <t>リジチョウ</t>
    </rPh>
    <rPh sb="3" eb="5">
      <t>カツドウ</t>
    </rPh>
    <rPh sb="5" eb="6">
      <t>ヒ</t>
    </rPh>
    <phoneticPr fontId="4"/>
  </si>
  <si>
    <t>褒賞費</t>
    <rPh sb="0" eb="2">
      <t>ホウショウ</t>
    </rPh>
    <rPh sb="2" eb="3">
      <t>ヒ</t>
    </rPh>
    <phoneticPr fontId="4"/>
  </si>
  <si>
    <t>個人褒賞・理事長特別褒賞・理事長経験者バッジ</t>
    <rPh sb="0" eb="2">
      <t>コジン</t>
    </rPh>
    <rPh sb="2" eb="4">
      <t>ホウショウ</t>
    </rPh>
    <rPh sb="5" eb="8">
      <t>リジチョウ</t>
    </rPh>
    <rPh sb="8" eb="10">
      <t>トクベツ</t>
    </rPh>
    <rPh sb="10" eb="12">
      <t>ホウショウ</t>
    </rPh>
    <rPh sb="13" eb="16">
      <t>リジチョウ</t>
    </rPh>
    <rPh sb="16" eb="19">
      <t>ケイケンシャ</t>
    </rPh>
    <phoneticPr fontId="4"/>
  </si>
  <si>
    <t>諸会費</t>
    <rPh sb="0" eb="1">
      <t>ショ</t>
    </rPh>
    <rPh sb="1" eb="3">
      <t>カイヒ</t>
    </rPh>
    <phoneticPr fontId="4"/>
  </si>
  <si>
    <t>渉外費　計</t>
    <rPh sb="0" eb="2">
      <t>ショウガイ</t>
    </rPh>
    <rPh sb="2" eb="3">
      <t>ヒ</t>
    </rPh>
    <rPh sb="4" eb="5">
      <t>ケイ</t>
    </rPh>
    <phoneticPr fontId="4"/>
  </si>
  <si>
    <t>事業費</t>
    <rPh sb="0" eb="3">
      <t>ジギョウヒ</t>
    </rPh>
    <phoneticPr fontId="4"/>
  </si>
  <si>
    <t>総務委員会</t>
    <rPh sb="0" eb="2">
      <t>ソウム</t>
    </rPh>
    <rPh sb="2" eb="5">
      <t>イインカイ</t>
    </rPh>
    <phoneticPr fontId="4"/>
  </si>
  <si>
    <t>国際委員会</t>
    <rPh sb="0" eb="2">
      <t>コクサイ</t>
    </rPh>
    <rPh sb="2" eb="5">
      <t>イインカイ</t>
    </rPh>
    <phoneticPr fontId="4"/>
  </si>
  <si>
    <t>事業費　計</t>
    <rPh sb="0" eb="2">
      <t>ジギョウ</t>
    </rPh>
    <rPh sb="2" eb="3">
      <t>ヒ</t>
    </rPh>
    <rPh sb="4" eb="5">
      <t>ケイ</t>
    </rPh>
    <phoneticPr fontId="4"/>
  </si>
  <si>
    <t>研修費</t>
    <rPh sb="0" eb="3">
      <t>ケンシュウヒ</t>
    </rPh>
    <phoneticPr fontId="4"/>
  </si>
  <si>
    <t>佐賀ブロック大会登録料</t>
    <rPh sb="0" eb="2">
      <t>サガ</t>
    </rPh>
    <rPh sb="6" eb="8">
      <t>タイカイ</t>
    </rPh>
    <rPh sb="8" eb="10">
      <t>トウロク</t>
    </rPh>
    <rPh sb="10" eb="11">
      <t>リョウ</t>
    </rPh>
    <phoneticPr fontId="4"/>
  </si>
  <si>
    <t>九州地区大会</t>
    <rPh sb="0" eb="2">
      <t>キュウシュウ</t>
    </rPh>
    <rPh sb="2" eb="4">
      <t>チク</t>
    </rPh>
    <rPh sb="4" eb="6">
      <t>タイカイ</t>
    </rPh>
    <phoneticPr fontId="4"/>
  </si>
  <si>
    <t>大会参加補助費</t>
    <rPh sb="0" eb="2">
      <t>タイカイ</t>
    </rPh>
    <rPh sb="2" eb="4">
      <t>サンカ</t>
    </rPh>
    <rPh sb="4" eb="7">
      <t>ホジョヒ</t>
    </rPh>
    <phoneticPr fontId="4"/>
  </si>
  <si>
    <t>ASPAC・全国大会登録補助</t>
    <rPh sb="6" eb="8">
      <t>ゼンコク</t>
    </rPh>
    <rPh sb="8" eb="10">
      <t>タイカイ</t>
    </rPh>
    <rPh sb="10" eb="12">
      <t>トウロク</t>
    </rPh>
    <rPh sb="12" eb="14">
      <t>ホジョ</t>
    </rPh>
    <phoneticPr fontId="4"/>
  </si>
  <si>
    <t>登録料</t>
    <rPh sb="0" eb="2">
      <t>トウロク</t>
    </rPh>
    <rPh sb="2" eb="3">
      <t>リョウ</t>
    </rPh>
    <phoneticPr fontId="4"/>
  </si>
  <si>
    <t>京都会議登録料</t>
    <rPh sb="0" eb="2">
      <t>キョウト</t>
    </rPh>
    <rPh sb="2" eb="4">
      <t>カイギ</t>
    </rPh>
    <rPh sb="4" eb="6">
      <t>トウロク</t>
    </rPh>
    <rPh sb="6" eb="7">
      <t>リョウ</t>
    </rPh>
    <phoneticPr fontId="4"/>
  </si>
  <si>
    <t>研修費　小計</t>
    <rPh sb="0" eb="3">
      <t>ケンシュウヒ</t>
    </rPh>
    <rPh sb="4" eb="6">
      <t>ショウケイ</t>
    </rPh>
    <phoneticPr fontId="4"/>
  </si>
  <si>
    <t>定期預金開設</t>
    <rPh sb="0" eb="2">
      <t>テイキ</t>
    </rPh>
    <rPh sb="2" eb="4">
      <t>ヨキン</t>
    </rPh>
    <rPh sb="4" eb="6">
      <t>カイセツ</t>
    </rPh>
    <phoneticPr fontId="4"/>
  </si>
  <si>
    <t>減価償却積立預金繰入支出</t>
    <rPh sb="0" eb="2">
      <t>ゲンカ</t>
    </rPh>
    <rPh sb="2" eb="4">
      <t>ショウキャク</t>
    </rPh>
    <rPh sb="4" eb="6">
      <t>ツミタテ</t>
    </rPh>
    <rPh sb="6" eb="8">
      <t>ヨキン</t>
    </rPh>
    <rPh sb="8" eb="10">
      <t>クリイレ</t>
    </rPh>
    <rPh sb="10" eb="12">
      <t>シシュツ</t>
    </rPh>
    <phoneticPr fontId="4"/>
  </si>
  <si>
    <t>周年事業積立預金繰入支出</t>
    <rPh sb="0" eb="2">
      <t>シュウネン</t>
    </rPh>
    <rPh sb="2" eb="4">
      <t>ジギョウ</t>
    </rPh>
    <rPh sb="4" eb="6">
      <t>ツミタテ</t>
    </rPh>
    <rPh sb="6" eb="8">
      <t>ヨキン</t>
    </rPh>
    <rPh sb="8" eb="10">
      <t>クリイレ</t>
    </rPh>
    <rPh sb="10" eb="12">
      <t>シシュツ</t>
    </rPh>
    <phoneticPr fontId="4"/>
  </si>
  <si>
    <t>当期支出合計（Ｃ）</t>
    <rPh sb="0" eb="2">
      <t>トウキ</t>
    </rPh>
    <rPh sb="2" eb="4">
      <t>シシュツ</t>
    </rPh>
    <rPh sb="4" eb="6">
      <t>ゴウケイ</t>
    </rPh>
    <phoneticPr fontId="4"/>
  </si>
  <si>
    <t>当期収支差額（Ａ）-（Ｃ）</t>
    <rPh sb="0" eb="2">
      <t>トウキ</t>
    </rPh>
    <rPh sb="2" eb="4">
      <t>シュウシ</t>
    </rPh>
    <rPh sb="4" eb="6">
      <t>サガク</t>
    </rPh>
    <phoneticPr fontId="4"/>
  </si>
  <si>
    <t>次期繰越収支差額（Ｂ）-（Ｃ）</t>
    <rPh sb="0" eb="2">
      <t>ジキ</t>
    </rPh>
    <rPh sb="2" eb="4">
      <t>クリコシ</t>
    </rPh>
    <rPh sb="4" eb="6">
      <t>シュウシ</t>
    </rPh>
    <rPh sb="6" eb="8">
      <t>サガク</t>
    </rPh>
    <phoneticPr fontId="4"/>
  </si>
  <si>
    <t>登録費収益　出店料</t>
    <rPh sb="0" eb="2">
      <t>トウロク</t>
    </rPh>
    <rPh sb="2" eb="3">
      <t>ヒ</t>
    </rPh>
    <rPh sb="3" eb="5">
      <t>シュウエキ</t>
    </rPh>
    <rPh sb="6" eb="8">
      <t>シュッテン</t>
    </rPh>
    <rPh sb="8" eb="9">
      <t>リョウ</t>
    </rPh>
    <phoneticPr fontId="4"/>
  </si>
  <si>
    <t>広告料収益　協賛金</t>
    <rPh sb="0" eb="3">
      <t>コウコクリョウ</t>
    </rPh>
    <rPh sb="3" eb="5">
      <t>シュウエキ</t>
    </rPh>
    <rPh sb="6" eb="9">
      <t>キョウサンキン</t>
    </rPh>
    <phoneticPr fontId="4"/>
  </si>
  <si>
    <t>コピー機、印刷機リース料・再リース料・保守契約料</t>
    <rPh sb="3" eb="4">
      <t>キ</t>
    </rPh>
    <rPh sb="5" eb="8">
      <t>インサツキ</t>
    </rPh>
    <rPh sb="11" eb="12">
      <t>リョウ</t>
    </rPh>
    <rPh sb="13" eb="14">
      <t>サイ</t>
    </rPh>
    <rPh sb="17" eb="18">
      <t>リョウ</t>
    </rPh>
    <rPh sb="19" eb="21">
      <t>ホシュ</t>
    </rPh>
    <rPh sb="21" eb="24">
      <t>ケイヤクリョウ</t>
    </rPh>
    <phoneticPr fontId="4"/>
  </si>
  <si>
    <t>人づくり委員会</t>
    <rPh sb="0" eb="1">
      <t>ヒト</t>
    </rPh>
    <rPh sb="4" eb="7">
      <t>イインカイ</t>
    </rPh>
    <phoneticPr fontId="4"/>
  </si>
  <si>
    <t>ビジネス委員会</t>
    <rPh sb="4" eb="7">
      <t>イインカイ</t>
    </rPh>
    <phoneticPr fontId="3"/>
  </si>
  <si>
    <t>広報委員会</t>
    <rPh sb="0" eb="2">
      <t>コウホウ</t>
    </rPh>
    <rPh sb="2" eb="5">
      <t>イインカイ</t>
    </rPh>
    <phoneticPr fontId="3"/>
  </si>
  <si>
    <t>次世代環境委員会</t>
    <rPh sb="0" eb="3">
      <t>ジセダイ</t>
    </rPh>
    <rPh sb="3" eb="5">
      <t>カンキョウ</t>
    </rPh>
    <rPh sb="5" eb="8">
      <t>イインカイ</t>
    </rPh>
    <phoneticPr fontId="4"/>
  </si>
  <si>
    <t>振替手数料・振込手数料・法人INB基本手数料</t>
    <rPh sb="0" eb="2">
      <t>フリカエ</t>
    </rPh>
    <rPh sb="2" eb="5">
      <t>テスウリョウ</t>
    </rPh>
    <rPh sb="6" eb="8">
      <t>フリコミ</t>
    </rPh>
    <rPh sb="8" eb="11">
      <t>テスウリョウ</t>
    </rPh>
    <rPh sb="12" eb="14">
      <t>ホウジン</t>
    </rPh>
    <rPh sb="17" eb="19">
      <t>キホン</t>
    </rPh>
    <rPh sb="19" eb="22">
      <t>テスウリョウ</t>
    </rPh>
    <phoneticPr fontId="4"/>
  </si>
  <si>
    <t>ゴミ収集代・会館WAX清掃代・修繕費用</t>
    <rPh sb="2" eb="4">
      <t>シュウシュウ</t>
    </rPh>
    <rPh sb="4" eb="5">
      <t>ダイ</t>
    </rPh>
    <rPh sb="6" eb="8">
      <t>カイカン</t>
    </rPh>
    <rPh sb="11" eb="13">
      <t>セイソウ</t>
    </rPh>
    <rPh sb="13" eb="14">
      <t>ダイ</t>
    </rPh>
    <rPh sb="15" eb="17">
      <t>シュウゼン</t>
    </rPh>
    <rPh sb="17" eb="19">
      <t>ヒヨウ</t>
    </rPh>
    <phoneticPr fontId="4"/>
  </si>
  <si>
    <t>会計顧問料</t>
    <rPh sb="0" eb="2">
      <t>カイケイ</t>
    </rPh>
    <rPh sb="2" eb="4">
      <t>コモン</t>
    </rPh>
    <rPh sb="4" eb="5">
      <t>リョウ</t>
    </rPh>
    <phoneticPr fontId="3"/>
  </si>
  <si>
    <t>寸志代等</t>
    <rPh sb="0" eb="2">
      <t>スンシ</t>
    </rPh>
    <rPh sb="2" eb="3">
      <t>ダイ</t>
    </rPh>
    <rPh sb="3" eb="4">
      <t>トウ</t>
    </rPh>
    <phoneticPr fontId="4"/>
  </si>
  <si>
    <t>西神野自治会費6,000円・外部団体会費等</t>
    <rPh sb="0" eb="1">
      <t>ニシ</t>
    </rPh>
    <rPh sb="1" eb="2">
      <t>カミ</t>
    </rPh>
    <rPh sb="2" eb="3">
      <t>ノ</t>
    </rPh>
    <rPh sb="3" eb="5">
      <t>ジチ</t>
    </rPh>
    <rPh sb="5" eb="7">
      <t>カイヒ</t>
    </rPh>
    <rPh sb="12" eb="13">
      <t>エン</t>
    </rPh>
    <rPh sb="14" eb="16">
      <t>ガイブ</t>
    </rPh>
    <rPh sb="16" eb="18">
      <t>ダンタイ</t>
    </rPh>
    <rPh sb="18" eb="20">
      <t>カイヒ</t>
    </rPh>
    <rPh sb="20" eb="21">
      <t>トウ</t>
    </rPh>
    <phoneticPr fontId="4"/>
  </si>
  <si>
    <t>労働保険料等</t>
    <rPh sb="0" eb="2">
      <t>ロウドウ</t>
    </rPh>
    <rPh sb="2" eb="5">
      <t>ホケンリョウ</t>
    </rPh>
    <rPh sb="5" eb="6">
      <t>トウ</t>
    </rPh>
    <phoneticPr fontId="4"/>
  </si>
  <si>
    <t>理事登記変更代30,000円・収入印紙代</t>
    <rPh sb="0" eb="2">
      <t>リジ</t>
    </rPh>
    <rPh sb="2" eb="4">
      <t>トウキ</t>
    </rPh>
    <rPh sb="4" eb="6">
      <t>ヘンコウ</t>
    </rPh>
    <rPh sb="6" eb="7">
      <t>ダイ</t>
    </rPh>
    <rPh sb="13" eb="14">
      <t>エン</t>
    </rPh>
    <rPh sb="15" eb="17">
      <t>シュウニュウ</t>
    </rPh>
    <rPh sb="17" eb="19">
      <t>インシ</t>
    </rPh>
    <rPh sb="19" eb="20">
      <t>ダイ</t>
    </rPh>
    <phoneticPr fontId="4"/>
  </si>
  <si>
    <t>基本資料・会員名簿・新入会員追加シール・印刷備品</t>
    <rPh sb="0" eb="2">
      <t>キホン</t>
    </rPh>
    <rPh sb="2" eb="4">
      <t>シリョウ</t>
    </rPh>
    <rPh sb="5" eb="7">
      <t>カイイン</t>
    </rPh>
    <rPh sb="7" eb="9">
      <t>メイボ</t>
    </rPh>
    <rPh sb="10" eb="14">
      <t>シンニュウカイイン</t>
    </rPh>
    <rPh sb="14" eb="16">
      <t>ツイカ</t>
    </rPh>
    <rPh sb="20" eb="22">
      <t>インサツ</t>
    </rPh>
    <rPh sb="22" eb="24">
      <t>ビヒン</t>
    </rPh>
    <phoneticPr fontId="4"/>
  </si>
  <si>
    <t>電気・ガス・水道・灯油代</t>
    <rPh sb="0" eb="2">
      <t>デンキ</t>
    </rPh>
    <rPh sb="6" eb="8">
      <t>スイドウ</t>
    </rPh>
    <rPh sb="9" eb="11">
      <t>トウユ</t>
    </rPh>
    <rPh sb="11" eb="12">
      <t>ダイ</t>
    </rPh>
    <phoneticPr fontId="4"/>
  </si>
  <si>
    <t>(一社）佐賀青年会議所２０２０年度収支予算書（案）</t>
    <rPh sb="1" eb="2">
      <t>イチ</t>
    </rPh>
    <rPh sb="2" eb="3">
      <t>シャ</t>
    </rPh>
    <rPh sb="4" eb="6">
      <t>サガ</t>
    </rPh>
    <rPh sb="6" eb="8">
      <t>セイネン</t>
    </rPh>
    <rPh sb="8" eb="11">
      <t>カイギショ</t>
    </rPh>
    <rPh sb="15" eb="17">
      <t>ネンド</t>
    </rPh>
    <rPh sb="17" eb="19">
      <t>シュウシ</t>
    </rPh>
    <rPh sb="19" eb="22">
      <t>ヨサンショ</t>
    </rPh>
    <rPh sb="23" eb="24">
      <t>アン</t>
    </rPh>
    <phoneticPr fontId="4"/>
  </si>
  <si>
    <t>郷土愛満ち溢れるまちづくり委員会</t>
    <rPh sb="0" eb="2">
      <t>キョウド</t>
    </rPh>
    <rPh sb="2" eb="3">
      <t>アイ</t>
    </rPh>
    <rPh sb="3" eb="4">
      <t>ミ</t>
    </rPh>
    <rPh sb="5" eb="6">
      <t>アフ</t>
    </rPh>
    <rPh sb="13" eb="16">
      <t>イインカイ</t>
    </rPh>
    <phoneticPr fontId="4"/>
  </si>
  <si>
    <t>登録費収益　参加料</t>
    <rPh sb="0" eb="2">
      <t>トウロク</t>
    </rPh>
    <rPh sb="2" eb="3">
      <t>ヒ</t>
    </rPh>
    <rPh sb="3" eb="5">
      <t>シュウエキ</t>
    </rPh>
    <rPh sb="6" eb="8">
      <t>サンカ</t>
    </rPh>
    <rPh sb="8" eb="9">
      <t>リョウ</t>
    </rPh>
    <phoneticPr fontId="4"/>
  </si>
  <si>
    <t>臨時会費</t>
    <rPh sb="0" eb="2">
      <t>リンジ</t>
    </rPh>
    <rPh sb="2" eb="4">
      <t>カイヒ</t>
    </rPh>
    <phoneticPr fontId="4"/>
  </si>
  <si>
    <t>教育事業助成金</t>
    <rPh sb="0" eb="2">
      <t>キョウイク</t>
    </rPh>
    <rPh sb="2" eb="4">
      <t>ジギョウ</t>
    </rPh>
    <rPh sb="4" eb="7">
      <t>ジョセイキン</t>
    </rPh>
    <phoneticPr fontId="4"/>
  </si>
  <si>
    <t>佐賀県国際交流協会</t>
    <rPh sb="0" eb="3">
      <t>サガケン</t>
    </rPh>
    <rPh sb="3" eb="5">
      <t>コクサイ</t>
    </rPh>
    <rPh sb="5" eb="7">
      <t>コウリュウ</t>
    </rPh>
    <rPh sb="7" eb="9">
      <t>キョウカイ</t>
    </rPh>
    <phoneticPr fontId="4"/>
  </si>
  <si>
    <t>その他支出</t>
    <rPh sb="2" eb="3">
      <t>タ</t>
    </rPh>
    <rPh sb="3" eb="5">
      <t>シシュツ</t>
    </rPh>
    <phoneticPr fontId="4"/>
  </si>
  <si>
    <t>雑損失</t>
    <rPh sb="0" eb="2">
      <t>ザッソン</t>
    </rPh>
    <rPh sb="2" eb="3">
      <t>シツ</t>
    </rPh>
    <phoneticPr fontId="4"/>
  </si>
  <si>
    <t>雑損失　小計</t>
    <rPh sb="0" eb="2">
      <t>ザッソン</t>
    </rPh>
    <rPh sb="2" eb="3">
      <t>シツ</t>
    </rPh>
    <rPh sb="4" eb="6">
      <t>ショウケイ</t>
    </rPh>
    <phoneticPr fontId="4"/>
  </si>
  <si>
    <t>結婚祝い・長子出産祝い・現役シニア佛花代・電報代</t>
    <rPh sb="0" eb="2">
      <t>ケッコン</t>
    </rPh>
    <rPh sb="2" eb="3">
      <t>イワ</t>
    </rPh>
    <rPh sb="5" eb="7">
      <t>チョウシ</t>
    </rPh>
    <rPh sb="7" eb="9">
      <t>シュッサン</t>
    </rPh>
    <rPh sb="9" eb="10">
      <t>イワ</t>
    </rPh>
    <rPh sb="12" eb="14">
      <t>ゲンエキ</t>
    </rPh>
    <rPh sb="17" eb="18">
      <t>ブツ</t>
    </rPh>
    <rPh sb="18" eb="19">
      <t>バナ</t>
    </rPh>
    <rPh sb="19" eb="20">
      <t>ダイ</t>
    </rPh>
    <rPh sb="21" eb="23">
      <t>デンポウ</t>
    </rPh>
    <rPh sb="23" eb="24">
      <t>ダイ</t>
    </rPh>
    <phoneticPr fontId="4"/>
  </si>
  <si>
    <t>2019年　　　　　　　　　　　　　　　　　　補正後予算額</t>
    <rPh sb="4" eb="5">
      <t>ネン</t>
    </rPh>
    <rPh sb="23" eb="25">
      <t>ホセイ</t>
    </rPh>
    <rPh sb="25" eb="26">
      <t>ゴ</t>
    </rPh>
    <rPh sb="26" eb="28">
      <t>ヨサン</t>
    </rPh>
    <rPh sb="28" eb="29">
      <t>ガク</t>
    </rPh>
    <phoneticPr fontId="4"/>
  </si>
  <si>
    <t>地域コミュニティ構築委員会</t>
    <rPh sb="0" eb="2">
      <t>チイキ</t>
    </rPh>
    <rPh sb="8" eb="10">
      <t>コウチク</t>
    </rPh>
    <rPh sb="10" eb="13">
      <t>イインカイ</t>
    </rPh>
    <phoneticPr fontId="4"/>
  </si>
  <si>
    <t>ダイナースカード利用手数料・シニア・クラブからの交流費収入等</t>
    <rPh sb="8" eb="10">
      <t>リヨウ</t>
    </rPh>
    <rPh sb="10" eb="13">
      <t>テスウリョウ</t>
    </rPh>
    <rPh sb="24" eb="26">
      <t>コウリュウ</t>
    </rPh>
    <rPh sb="26" eb="27">
      <t>ヒ</t>
    </rPh>
    <rPh sb="27" eb="29">
      <t>シュウニュウ</t>
    </rPh>
    <rPh sb="29" eb="30">
      <t>ナド</t>
    </rPh>
    <phoneticPr fontId="4"/>
  </si>
  <si>
    <t>2020年　　　　　　　　　　　　　　　　　　　当初予算額</t>
    <rPh sb="4" eb="5">
      <t>ネン</t>
    </rPh>
    <rPh sb="24" eb="26">
      <t>トウショ</t>
    </rPh>
    <rPh sb="26" eb="28">
      <t>ヨサン</t>
    </rPh>
    <rPh sb="28" eb="29">
      <t>ガク</t>
    </rPh>
    <phoneticPr fontId="4"/>
  </si>
  <si>
    <t>電話FAXネット利用料・郵送料・葉書・切手代</t>
    <rPh sb="0" eb="2">
      <t>デンワ</t>
    </rPh>
    <rPh sb="8" eb="11">
      <t>リヨウリョウ</t>
    </rPh>
    <rPh sb="12" eb="15">
      <t>ユウソウリョウ</t>
    </rPh>
    <rPh sb="16" eb="18">
      <t>ハガキ</t>
    </rPh>
    <rPh sb="19" eb="21">
      <t>キッテ</t>
    </rPh>
    <rPh sb="21" eb="22">
      <t>ダイ</t>
    </rPh>
    <phoneticPr fontId="4"/>
  </si>
  <si>
    <t>国際・ビジネス委員会</t>
    <rPh sb="0" eb="2">
      <t>コクサイ</t>
    </rPh>
    <rPh sb="7" eb="10">
      <t>イインカイ</t>
    </rPh>
    <phoneticPr fontId="4"/>
  </si>
  <si>
    <t>人財づくり委員会</t>
    <rPh sb="0" eb="2">
      <t>ジンザイ</t>
    </rPh>
    <rPh sb="5" eb="8">
      <t>イインカイ</t>
    </rPh>
    <phoneticPr fontId="4"/>
  </si>
  <si>
    <t>青少年・環境委員会</t>
    <rPh sb="0" eb="3">
      <t>セイショウネン</t>
    </rPh>
    <rPh sb="4" eb="6">
      <t>カンキョウ</t>
    </rPh>
    <rPh sb="6" eb="9">
      <t>イインカイ</t>
    </rPh>
    <phoneticPr fontId="4"/>
  </si>
  <si>
    <t>会員拡大委員会</t>
    <rPh sb="0" eb="2">
      <t>カイイン</t>
    </rPh>
    <rPh sb="2" eb="4">
      <t>カクダイ</t>
    </rPh>
    <rPh sb="4" eb="7">
      <t>イインカイ</t>
    </rPh>
    <phoneticPr fontId="4"/>
  </si>
  <si>
    <t>目標30名</t>
    <rPh sb="0" eb="2">
      <t>モクヒョウ</t>
    </rPh>
    <rPh sb="4" eb="5">
      <t>メイ</t>
    </rPh>
    <phoneticPr fontId="4"/>
  </si>
  <si>
    <t>(残金4,111,593円)</t>
    <rPh sb="1" eb="3">
      <t>ザンキン</t>
    </rPh>
    <rPh sb="12" eb="13">
      <t>エン</t>
    </rPh>
    <phoneticPr fontId="4"/>
  </si>
  <si>
    <r>
      <t>まちづくり委員会</t>
    </r>
    <r>
      <rPr>
        <sz val="10"/>
        <color theme="0"/>
        <rFont val="ＭＳ Ｐゴシック"/>
        <family val="3"/>
        <charset val="128"/>
      </rPr>
      <t>(補助金233万含む)</t>
    </r>
    <phoneticPr fontId="4"/>
  </si>
  <si>
    <t>仮会員3名含む</t>
    <rPh sb="0" eb="1">
      <t>カリ</t>
    </rPh>
    <rPh sb="1" eb="3">
      <t>カイイン</t>
    </rPh>
    <rPh sb="4" eb="5">
      <t>メイ</t>
    </rPh>
    <rPh sb="5" eb="6">
      <t>フク</t>
    </rPh>
    <phoneticPr fontId="4"/>
  </si>
  <si>
    <t>10.5＄(単価1,621円)</t>
    <rPh sb="6" eb="8">
      <t>タンカ</t>
    </rPh>
    <rPh sb="13" eb="14">
      <t>エン</t>
    </rPh>
    <phoneticPr fontId="4"/>
  </si>
  <si>
    <t>51名からは、25名増すごとに15,000円を加算</t>
    <rPh sb="2" eb="3">
      <t>メイ</t>
    </rPh>
    <rPh sb="9" eb="10">
      <t>メイ</t>
    </rPh>
    <rPh sb="10" eb="11">
      <t>マ</t>
    </rPh>
    <rPh sb="21" eb="22">
      <t>エン</t>
    </rPh>
    <rPh sb="23" eb="25">
      <t>カサン</t>
    </rPh>
    <phoneticPr fontId="3"/>
  </si>
  <si>
    <t>(一社）佐賀青年会議所２０２１年度収支予算書（案）</t>
    <rPh sb="1" eb="2">
      <t>イチ</t>
    </rPh>
    <rPh sb="2" eb="3">
      <t>シャ</t>
    </rPh>
    <rPh sb="4" eb="6">
      <t>サガ</t>
    </rPh>
    <rPh sb="6" eb="8">
      <t>セイネン</t>
    </rPh>
    <rPh sb="8" eb="11">
      <t>カイギショ</t>
    </rPh>
    <rPh sb="15" eb="17">
      <t>ネンド</t>
    </rPh>
    <rPh sb="17" eb="19">
      <t>シュウシ</t>
    </rPh>
    <rPh sb="19" eb="22">
      <t>ヨサンショ</t>
    </rPh>
    <rPh sb="23" eb="24">
      <t>アン</t>
    </rPh>
    <phoneticPr fontId="4"/>
  </si>
  <si>
    <t>2020年　　　　　　　　　　　　　　　　　　補正後予算額</t>
    <rPh sb="4" eb="5">
      <t>ネン</t>
    </rPh>
    <rPh sb="23" eb="25">
      <t>ホセイ</t>
    </rPh>
    <rPh sb="25" eb="26">
      <t>ゴ</t>
    </rPh>
    <rPh sb="26" eb="28">
      <t>ヨサン</t>
    </rPh>
    <rPh sb="28" eb="29">
      <t>ガク</t>
    </rPh>
    <phoneticPr fontId="4"/>
  </si>
  <si>
    <t>2021年　　　　　　　　　　　　　　　　　　　予算額</t>
    <rPh sb="4" eb="5">
      <t>ネン</t>
    </rPh>
    <rPh sb="24" eb="26">
      <t>ヨサン</t>
    </rPh>
    <rPh sb="26" eb="27">
      <t>ガク</t>
    </rPh>
    <phoneticPr fontId="4"/>
  </si>
  <si>
    <t>支援事業助成金</t>
    <rPh sb="0" eb="2">
      <t>シエン</t>
    </rPh>
    <rPh sb="2" eb="4">
      <t>ジギョウ</t>
    </rPh>
    <rPh sb="4" eb="7">
      <t>ジョセイキン</t>
    </rPh>
    <phoneticPr fontId="4"/>
  </si>
  <si>
    <t>シニア・クラブからの助成金</t>
    <rPh sb="10" eb="12">
      <t>ジョセイ</t>
    </rPh>
    <rPh sb="12" eb="13">
      <t>キン</t>
    </rPh>
    <phoneticPr fontId="3"/>
  </si>
  <si>
    <t>10.5＄(単価　　　　円)</t>
    <rPh sb="6" eb="8">
      <t>タンカ</t>
    </rPh>
    <rPh sb="12" eb="13">
      <t>エン</t>
    </rPh>
    <phoneticPr fontId="4"/>
  </si>
  <si>
    <t>国際・ビジネス委員会</t>
  </si>
  <si>
    <t>人財づくり委員会</t>
    <rPh sb="0" eb="2">
      <t>ジンザイ</t>
    </rPh>
    <rPh sb="5" eb="8">
      <t>イインカイ</t>
    </rPh>
    <phoneticPr fontId="3"/>
  </si>
  <si>
    <t>青少年・環境委員会</t>
    <rPh sb="0" eb="3">
      <t>セイショウネン</t>
    </rPh>
    <rPh sb="4" eb="9">
      <t>カンキョウイインカイ</t>
    </rPh>
    <phoneticPr fontId="3"/>
  </si>
  <si>
    <t>まちづくり委員会</t>
    <rPh sb="5" eb="8">
      <t>イインカイ</t>
    </rPh>
    <phoneticPr fontId="3"/>
  </si>
  <si>
    <t>会員拡大委員会</t>
    <rPh sb="0" eb="7">
      <t>カイインカクダイイインカイ</t>
    </rPh>
    <phoneticPr fontId="3"/>
  </si>
  <si>
    <t>ゴミ収集代・会館WAX清掃代</t>
    <rPh sb="2" eb="4">
      <t>シュウシュウ</t>
    </rPh>
    <rPh sb="4" eb="5">
      <t>ダイ</t>
    </rPh>
    <rPh sb="6" eb="8">
      <t>カイカン</t>
    </rPh>
    <rPh sb="11" eb="13">
      <t>セイソウ</t>
    </rPh>
    <rPh sb="13" eb="14">
      <t>ダイ</t>
    </rPh>
    <phoneticPr fontId="4"/>
  </si>
  <si>
    <t>前年度の流動資産から流動負債を差引いた金額（仮）</t>
    <rPh sb="0" eb="3">
      <t>ゼンネンド</t>
    </rPh>
    <rPh sb="4" eb="6">
      <t>リュウドウ</t>
    </rPh>
    <rPh sb="6" eb="8">
      <t>シサン</t>
    </rPh>
    <rPh sb="10" eb="12">
      <t>リュウドウ</t>
    </rPh>
    <rPh sb="12" eb="14">
      <t>フサイ</t>
    </rPh>
    <rPh sb="15" eb="17">
      <t>サシヒ</t>
    </rPh>
    <rPh sb="19" eb="21">
      <t>キンガク</t>
    </rPh>
    <rPh sb="22" eb="23">
      <t>カリ</t>
    </rPh>
    <phoneticPr fontId="4"/>
  </si>
  <si>
    <t>教育事業助成金</t>
    <phoneticPr fontId="4"/>
  </si>
  <si>
    <t>単価</t>
  </si>
  <si>
    <t>人員</t>
  </si>
  <si>
    <t>2019年
補正後予算額</t>
    <phoneticPr fontId="4"/>
  </si>
  <si>
    <t>総務</t>
    <phoneticPr fontId="4"/>
  </si>
  <si>
    <t>国際・ビジネス</t>
    <phoneticPr fontId="4"/>
  </si>
  <si>
    <t>人財づくり</t>
    <phoneticPr fontId="4"/>
  </si>
  <si>
    <t>青少年・環境</t>
    <phoneticPr fontId="4"/>
  </si>
  <si>
    <t>まちづくり</t>
    <phoneticPr fontId="4"/>
  </si>
  <si>
    <t>会員拡大</t>
    <phoneticPr fontId="4"/>
  </si>
  <si>
    <t>６５周年委員会</t>
    <rPh sb="2" eb="4">
      <t>シュウネン</t>
    </rPh>
    <rPh sb="4" eb="7">
      <t>イインカイ</t>
    </rPh>
    <phoneticPr fontId="4"/>
  </si>
  <si>
    <t>国際・災害対策支援委員会</t>
    <rPh sb="0" eb="2">
      <t>コクサイ</t>
    </rPh>
    <rPh sb="3" eb="5">
      <t>サイガイ</t>
    </rPh>
    <rPh sb="5" eb="7">
      <t>タイサク</t>
    </rPh>
    <rPh sb="7" eb="9">
      <t>シエン</t>
    </rPh>
    <rPh sb="9" eb="12">
      <t>イインカイ</t>
    </rPh>
    <phoneticPr fontId="4"/>
  </si>
  <si>
    <t>会員研修・ビジネス委員会</t>
    <rPh sb="0" eb="2">
      <t>カイイン</t>
    </rPh>
    <rPh sb="2" eb="4">
      <t>ケンシュウ</t>
    </rPh>
    <rPh sb="9" eb="12">
      <t>イインカイ</t>
    </rPh>
    <phoneticPr fontId="4"/>
  </si>
  <si>
    <t>未来に繋がるまちづくり委員会</t>
    <rPh sb="0" eb="2">
      <t>ミライ</t>
    </rPh>
    <rPh sb="3" eb="4">
      <t>ツナ</t>
    </rPh>
    <rPh sb="11" eb="14">
      <t>イインカイ</t>
    </rPh>
    <phoneticPr fontId="4"/>
  </si>
  <si>
    <t>勤続　年</t>
    <rPh sb="0" eb="2">
      <t>キンゾク</t>
    </rPh>
    <rPh sb="3" eb="4">
      <t>ネン</t>
    </rPh>
    <phoneticPr fontId="4"/>
  </si>
  <si>
    <r>
      <t>コピー機、印刷機リース料・再リース料・保守契約料、</t>
    </r>
    <r>
      <rPr>
        <sz val="10"/>
        <color rgb="FFFF0000"/>
        <rFont val="ＭＳ Ｐゴシック"/>
        <family val="3"/>
        <charset val="128"/>
      </rPr>
      <t>PCリース料</t>
    </r>
    <rPh sb="3" eb="4">
      <t>キ</t>
    </rPh>
    <rPh sb="5" eb="8">
      <t>インサツキ</t>
    </rPh>
    <rPh sb="11" eb="12">
      <t>リョウ</t>
    </rPh>
    <rPh sb="13" eb="14">
      <t>サイ</t>
    </rPh>
    <rPh sb="17" eb="18">
      <t>リョウ</t>
    </rPh>
    <rPh sb="19" eb="21">
      <t>ホシュ</t>
    </rPh>
    <rPh sb="21" eb="24">
      <t>ケイヤクリョウ</t>
    </rPh>
    <rPh sb="30" eb="31">
      <t>リョウ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</si>
</sst>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#,##0_ "/>
  </numFmts>
  <fonts count="18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6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9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sz val="10"/>
      <color indexed="17"/>
      <name val="ＭＳ Ｐゴシック"/>
      <family val="3"/>
      <charset val="128"/>
    </font>
    <font>
      <sz val="8"/>
      <name val="ＭＳ Ｐゴシック"/>
      <family val="3"/>
      <charset val="128"/>
    </font>
    <font>
      <sz val="11"/>
      <color theme="0"/>
      <name val="ＭＳ Ｐゴシック"/>
      <family val="3"/>
      <charset val="128"/>
    </font>
    <font>
      <sz val="10"/>
      <color theme="0"/>
      <name val="ＭＳ Ｐゴシック"/>
      <family val="3"/>
      <charset val="128"/>
    </font>
    <font>
      <b/>
      <sz val="10"/>
      <name val="ＭＳ Ｐゴシック"/>
      <family val="3"/>
      <charset val="128"/>
    </font>
    <font>
      <b/>
      <sz val="10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5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medium">
        <color rgb="FFFF0000"/>
      </left>
      <right/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/>
      <top style="thin">
        <color indexed="64"/>
      </top>
      <bottom/>
      <diagonal/>
    </border>
    <border>
      <left style="thin">
        <color indexed="64"/>
      </left>
      <right style="medium">
        <color rgb="FFFF0000"/>
      </right>
      <top style="thin">
        <color indexed="64"/>
      </top>
      <bottom/>
      <diagonal/>
    </border>
    <border>
      <left style="medium">
        <color rgb="FFFF0000"/>
      </left>
      <right/>
      <top/>
      <bottom/>
      <diagonal/>
    </border>
    <border>
      <left style="thin">
        <color indexed="64"/>
      </left>
      <right style="medium">
        <color rgb="FFFF0000"/>
      </right>
      <top/>
      <bottom/>
      <diagonal/>
    </border>
    <border>
      <left style="medium">
        <color rgb="FFFF0000"/>
      </left>
      <right style="thin">
        <color indexed="64"/>
      </right>
      <top/>
      <bottom/>
      <diagonal/>
    </border>
    <border>
      <left style="medium">
        <color rgb="FFFF0000"/>
      </left>
      <right style="thin">
        <color indexed="64"/>
      </right>
      <top style="thin">
        <color indexed="64"/>
      </top>
      <bottom/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/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/>
      <bottom style="thin">
        <color indexed="64"/>
      </bottom>
      <diagonal/>
    </border>
    <border>
      <left style="medium">
        <color rgb="FFFF0000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FF0000"/>
      </right>
      <top style="thin">
        <color indexed="64"/>
      </top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thin">
        <color indexed="64"/>
      </bottom>
      <diagonal/>
    </border>
    <border>
      <left/>
      <right style="medium">
        <color rgb="FFFF0000"/>
      </right>
      <top/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/>
      <bottom style="thin">
        <color indexed="64"/>
      </bottom>
      <diagonal/>
    </border>
    <border>
      <left style="medium">
        <color rgb="FFFF0000"/>
      </left>
      <right/>
      <top style="thin">
        <color indexed="64"/>
      </top>
      <bottom style="medium">
        <color rgb="FFFF0000"/>
      </bottom>
      <diagonal/>
    </border>
    <border>
      <left style="thin">
        <color indexed="64"/>
      </left>
      <right/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medium">
        <color rgb="FFFF0000"/>
      </bottom>
      <diagonal/>
    </border>
  </borders>
  <cellStyleXfs count="2">
    <xf numFmtId="0" fontId="0" fillId="0" borderId="0"/>
    <xf numFmtId="38" fontId="1" fillId="0" borderId="0" applyFont="0" applyFill="0" applyBorder="0" applyAlignment="0" applyProtection="0"/>
  </cellStyleXfs>
  <cellXfs count="171">
    <xf numFmtId="0" fontId="0" fillId="0" borderId="0" xfId="0"/>
    <xf numFmtId="0" fontId="0" fillId="0" borderId="0" xfId="0" applyFill="1"/>
    <xf numFmtId="176" fontId="0" fillId="0" borderId="0" xfId="0" applyNumberFormat="1" applyFill="1" applyBorder="1"/>
    <xf numFmtId="176" fontId="5" fillId="0" borderId="0" xfId="1" applyNumberFormat="1" applyFont="1" applyFill="1" applyBorder="1"/>
    <xf numFmtId="176" fontId="6" fillId="0" borderId="0" xfId="0" applyNumberFormat="1" applyFont="1" applyFill="1" applyBorder="1" applyAlignment="1">
      <alignment horizontal="right"/>
    </xf>
    <xf numFmtId="176" fontId="6" fillId="0" borderId="1" xfId="0" applyNumberFormat="1" applyFont="1" applyFill="1" applyBorder="1" applyAlignment="1">
      <alignment horizontal="center" vertical="center"/>
    </xf>
    <xf numFmtId="176" fontId="6" fillId="0" borderId="2" xfId="1" applyNumberFormat="1" applyFont="1" applyFill="1" applyBorder="1" applyAlignment="1">
      <alignment horizontal="center" vertical="center"/>
    </xf>
    <xf numFmtId="177" fontId="6" fillId="0" borderId="1" xfId="1" applyNumberFormat="1" applyFont="1" applyFill="1" applyBorder="1" applyAlignment="1">
      <alignment horizontal="center" vertical="center" shrinkToFit="1"/>
    </xf>
    <xf numFmtId="177" fontId="6" fillId="0" borderId="2" xfId="1" applyNumberFormat="1" applyFont="1" applyFill="1" applyBorder="1" applyAlignment="1">
      <alignment horizontal="center" vertical="center" shrinkToFit="1"/>
    </xf>
    <xf numFmtId="177" fontId="6" fillId="0" borderId="3" xfId="1" applyNumberFormat="1" applyFont="1" applyFill="1" applyBorder="1" applyAlignment="1">
      <alignment horizontal="center" vertical="center" wrapText="1" shrinkToFit="1"/>
    </xf>
    <xf numFmtId="177" fontId="6" fillId="0" borderId="4" xfId="1" applyNumberFormat="1" applyFont="1" applyFill="1" applyBorder="1" applyAlignment="1">
      <alignment horizontal="center" vertical="center" shrinkToFit="1"/>
    </xf>
    <xf numFmtId="0" fontId="0" fillId="0" borderId="0" xfId="0" applyFill="1" applyAlignment="1">
      <alignment vertical="center"/>
    </xf>
    <xf numFmtId="176" fontId="6" fillId="0" borderId="5" xfId="0" applyNumberFormat="1" applyFont="1" applyFill="1" applyBorder="1" applyAlignment="1">
      <alignment vertical="center"/>
    </xf>
    <xf numFmtId="38" fontId="7" fillId="0" borderId="5" xfId="1" applyFont="1" applyFill="1" applyBorder="1" applyAlignment="1">
      <alignment vertical="center"/>
    </xf>
    <xf numFmtId="38" fontId="7" fillId="0" borderId="6" xfId="1" applyFont="1" applyFill="1" applyBorder="1" applyAlignment="1">
      <alignment vertical="center"/>
    </xf>
    <xf numFmtId="38" fontId="7" fillId="0" borderId="7" xfId="1" applyFont="1" applyFill="1" applyBorder="1" applyAlignment="1">
      <alignment vertical="center"/>
    </xf>
    <xf numFmtId="38" fontId="7" fillId="0" borderId="8" xfId="1" applyFont="1" applyFill="1" applyBorder="1" applyAlignment="1">
      <alignment vertical="center"/>
    </xf>
    <xf numFmtId="177" fontId="6" fillId="0" borderId="9" xfId="1" applyNumberFormat="1" applyFont="1" applyFill="1" applyBorder="1" applyAlignment="1">
      <alignment vertical="center"/>
    </xf>
    <xf numFmtId="176" fontId="6" fillId="0" borderId="8" xfId="0" applyNumberFormat="1" applyFont="1" applyFill="1" applyBorder="1" applyAlignment="1">
      <alignment vertical="center"/>
    </xf>
    <xf numFmtId="38" fontId="7" fillId="0" borderId="11" xfId="1" applyFont="1" applyFill="1" applyBorder="1" applyAlignment="1">
      <alignment vertical="center"/>
    </xf>
    <xf numFmtId="177" fontId="6" fillId="0" borderId="9" xfId="1" applyNumberFormat="1" applyFont="1" applyFill="1" applyBorder="1" applyAlignment="1">
      <alignment vertical="center" shrinkToFit="1"/>
    </xf>
    <xf numFmtId="176" fontId="6" fillId="0" borderId="9" xfId="0" applyNumberFormat="1" applyFont="1" applyFill="1" applyBorder="1" applyAlignment="1">
      <alignment vertical="center" shrinkToFit="1"/>
    </xf>
    <xf numFmtId="176" fontId="6" fillId="0" borderId="10" xfId="0" applyNumberFormat="1" applyFont="1" applyFill="1" applyBorder="1" applyAlignment="1">
      <alignment vertical="center"/>
    </xf>
    <xf numFmtId="176" fontId="6" fillId="0" borderId="10" xfId="1" applyNumberFormat="1" applyFont="1" applyFill="1" applyBorder="1" applyAlignment="1">
      <alignment vertical="center" shrinkToFit="1"/>
    </xf>
    <xf numFmtId="38" fontId="7" fillId="0" borderId="0" xfId="1" applyFont="1" applyFill="1" applyBorder="1" applyAlignment="1">
      <alignment vertical="center"/>
    </xf>
    <xf numFmtId="38" fontId="7" fillId="0" borderId="10" xfId="1" applyFont="1" applyFill="1" applyBorder="1" applyAlignment="1">
      <alignment vertical="center"/>
    </xf>
    <xf numFmtId="176" fontId="6" fillId="0" borderId="8" xfId="1" applyNumberFormat="1" applyFont="1" applyFill="1" applyBorder="1" applyAlignment="1">
      <alignment vertical="center" shrinkToFit="1"/>
    </xf>
    <xf numFmtId="176" fontId="6" fillId="0" borderId="9" xfId="0" applyNumberFormat="1" applyFont="1" applyFill="1" applyBorder="1" applyAlignment="1">
      <alignment vertical="center" wrapText="1" shrinkToFit="1"/>
    </xf>
    <xf numFmtId="177" fontId="8" fillId="0" borderId="9" xfId="1" applyNumberFormat="1" applyFont="1" applyFill="1" applyBorder="1" applyAlignment="1">
      <alignment vertical="center"/>
    </xf>
    <xf numFmtId="176" fontId="6" fillId="0" borderId="10" xfId="0" applyNumberFormat="1" applyFont="1" applyFill="1" applyBorder="1" applyAlignment="1">
      <alignment vertical="center" wrapText="1"/>
    </xf>
    <xf numFmtId="176" fontId="6" fillId="0" borderId="10" xfId="1" applyNumberFormat="1" applyFont="1" applyFill="1" applyBorder="1" applyAlignment="1">
      <alignment vertical="center"/>
    </xf>
    <xf numFmtId="176" fontId="6" fillId="0" borderId="12" xfId="0" applyNumberFormat="1" applyFont="1" applyFill="1" applyBorder="1" applyAlignment="1">
      <alignment vertical="center" wrapText="1"/>
    </xf>
    <xf numFmtId="176" fontId="6" fillId="0" borderId="12" xfId="1" applyNumberFormat="1" applyFont="1" applyFill="1" applyBorder="1" applyAlignment="1">
      <alignment vertical="center"/>
    </xf>
    <xf numFmtId="38" fontId="7" fillId="0" borderId="12" xfId="1" applyFont="1" applyFill="1" applyBorder="1" applyAlignment="1">
      <alignment vertical="center"/>
    </xf>
    <xf numFmtId="38" fontId="7" fillId="0" borderId="13" xfId="1" applyFont="1" applyFill="1" applyBorder="1" applyAlignment="1">
      <alignment vertical="center"/>
    </xf>
    <xf numFmtId="38" fontId="7" fillId="0" borderId="15" xfId="1" applyFont="1" applyFill="1" applyBorder="1" applyAlignment="1">
      <alignment vertical="center"/>
    </xf>
    <xf numFmtId="38" fontId="7" fillId="0" borderId="16" xfId="1" applyFont="1" applyFill="1" applyBorder="1" applyAlignment="1">
      <alignment vertical="center"/>
    </xf>
    <xf numFmtId="38" fontId="7" fillId="0" borderId="17" xfId="1" applyFont="1" applyFill="1" applyBorder="1" applyAlignment="1">
      <alignment vertical="center"/>
    </xf>
    <xf numFmtId="38" fontId="7" fillId="0" borderId="4" xfId="1" applyFont="1" applyFill="1" applyBorder="1" applyAlignment="1">
      <alignment vertical="center"/>
    </xf>
    <xf numFmtId="38" fontId="7" fillId="0" borderId="2" xfId="1" applyFont="1" applyFill="1" applyBorder="1" applyAlignment="1">
      <alignment vertical="center"/>
    </xf>
    <xf numFmtId="38" fontId="7" fillId="0" borderId="18" xfId="1" applyFont="1" applyFill="1" applyBorder="1" applyAlignment="1">
      <alignment vertical="center"/>
    </xf>
    <xf numFmtId="38" fontId="7" fillId="0" borderId="20" xfId="1" applyFont="1" applyFill="1" applyBorder="1" applyAlignment="1">
      <alignment vertical="center"/>
    </xf>
    <xf numFmtId="38" fontId="7" fillId="0" borderId="21" xfId="1" applyFont="1" applyFill="1" applyBorder="1" applyAlignment="1">
      <alignment vertical="center"/>
    </xf>
    <xf numFmtId="38" fontId="7" fillId="0" borderId="22" xfId="1" applyFont="1" applyFill="1" applyBorder="1" applyAlignment="1">
      <alignment vertical="center"/>
    </xf>
    <xf numFmtId="38" fontId="7" fillId="0" borderId="23" xfId="1" applyFont="1" applyFill="1" applyBorder="1" applyAlignment="1">
      <alignment vertical="center"/>
    </xf>
    <xf numFmtId="177" fontId="6" fillId="0" borderId="22" xfId="1" applyNumberFormat="1" applyFont="1" applyFill="1" applyBorder="1" applyAlignment="1">
      <alignment vertical="center"/>
    </xf>
    <xf numFmtId="176" fontId="6" fillId="0" borderId="0" xfId="0" applyNumberFormat="1" applyFont="1" applyFill="1" applyBorder="1" applyAlignment="1">
      <alignment horizontal="right" vertical="center"/>
    </xf>
    <xf numFmtId="38" fontId="7" fillId="0" borderId="24" xfId="1" applyFont="1" applyFill="1" applyBorder="1" applyAlignment="1">
      <alignment vertical="center"/>
    </xf>
    <xf numFmtId="177" fontId="6" fillId="0" borderId="0" xfId="1" applyNumberFormat="1" applyFont="1" applyFill="1" applyBorder="1" applyAlignment="1">
      <alignment vertical="center"/>
    </xf>
    <xf numFmtId="176" fontId="0" fillId="0" borderId="0" xfId="0" applyNumberFormat="1" applyFont="1" applyFill="1" applyBorder="1" applyAlignment="1">
      <alignment vertical="center"/>
    </xf>
    <xf numFmtId="176" fontId="0" fillId="0" borderId="0" xfId="1" applyNumberFormat="1" applyFont="1" applyFill="1" applyBorder="1" applyAlignment="1">
      <alignment vertical="center"/>
    </xf>
    <xf numFmtId="38" fontId="7" fillId="0" borderId="25" xfId="1" applyFont="1" applyFill="1" applyBorder="1" applyAlignment="1">
      <alignment vertical="center"/>
    </xf>
    <xf numFmtId="177" fontId="0" fillId="0" borderId="25" xfId="1" applyNumberFormat="1" applyFont="1" applyFill="1" applyBorder="1" applyAlignment="1">
      <alignment vertical="center"/>
    </xf>
    <xf numFmtId="176" fontId="6" fillId="0" borderId="2" xfId="0" applyNumberFormat="1" applyFont="1" applyFill="1" applyBorder="1" applyAlignment="1">
      <alignment horizontal="center" vertical="center"/>
    </xf>
    <xf numFmtId="38" fontId="9" fillId="0" borderId="2" xfId="1" applyFont="1" applyFill="1" applyBorder="1" applyAlignment="1">
      <alignment horizontal="center" vertical="center"/>
    </xf>
    <xf numFmtId="176" fontId="6" fillId="0" borderId="5" xfId="1" applyNumberFormat="1" applyFont="1" applyFill="1" applyBorder="1" applyAlignment="1">
      <alignment vertical="center" shrinkToFit="1"/>
    </xf>
    <xf numFmtId="38" fontId="7" fillId="0" borderId="26" xfId="1" applyFont="1" applyFill="1" applyBorder="1" applyAlignment="1">
      <alignment vertical="center"/>
    </xf>
    <xf numFmtId="38" fontId="7" fillId="0" borderId="9" xfId="1" applyFont="1" applyFill="1" applyBorder="1" applyAlignment="1">
      <alignment vertical="center"/>
    </xf>
    <xf numFmtId="176" fontId="6" fillId="0" borderId="23" xfId="1" applyNumberFormat="1" applyFont="1" applyFill="1" applyBorder="1" applyAlignment="1">
      <alignment horizontal="right" vertical="center"/>
    </xf>
    <xf numFmtId="38" fontId="7" fillId="0" borderId="1" xfId="1" applyFont="1" applyFill="1" applyBorder="1" applyAlignment="1">
      <alignment vertical="center"/>
    </xf>
    <xf numFmtId="38" fontId="7" fillId="0" borderId="19" xfId="1" applyFont="1" applyFill="1" applyBorder="1" applyAlignment="1">
      <alignment vertical="center"/>
    </xf>
    <xf numFmtId="38" fontId="7" fillId="0" borderId="3" xfId="1" applyFont="1" applyFill="1" applyBorder="1" applyAlignment="1">
      <alignment vertical="center"/>
    </xf>
    <xf numFmtId="176" fontId="6" fillId="0" borderId="8" xfId="1" applyNumberFormat="1" applyFont="1" applyFill="1" applyBorder="1" applyAlignment="1">
      <alignment vertical="center"/>
    </xf>
    <xf numFmtId="177" fontId="10" fillId="0" borderId="9" xfId="1" applyNumberFormat="1" applyFont="1" applyFill="1" applyBorder="1" applyAlignment="1">
      <alignment vertical="center"/>
    </xf>
    <xf numFmtId="177" fontId="9" fillId="0" borderId="9" xfId="1" applyNumberFormat="1" applyFont="1" applyFill="1" applyBorder="1" applyAlignment="1">
      <alignment vertical="center"/>
    </xf>
    <xf numFmtId="176" fontId="6" fillId="0" borderId="5" xfId="1" applyNumberFormat="1" applyFont="1" applyFill="1" applyBorder="1" applyAlignment="1">
      <alignment vertical="center"/>
    </xf>
    <xf numFmtId="176" fontId="6" fillId="0" borderId="1" xfId="1" applyNumberFormat="1" applyFont="1" applyFill="1" applyBorder="1" applyAlignment="1">
      <alignment vertical="center"/>
    </xf>
    <xf numFmtId="38" fontId="7" fillId="0" borderId="14" xfId="1" applyFont="1" applyFill="1" applyBorder="1" applyAlignment="1">
      <alignment vertical="center"/>
    </xf>
    <xf numFmtId="38" fontId="7" fillId="0" borderId="27" xfId="1" applyFont="1" applyFill="1" applyBorder="1" applyAlignment="1">
      <alignment vertical="center"/>
    </xf>
    <xf numFmtId="176" fontId="6" fillId="0" borderId="6" xfId="0" applyNumberFormat="1" applyFont="1" applyFill="1" applyBorder="1" applyAlignment="1">
      <alignment horizontal="left" vertical="center" wrapText="1"/>
    </xf>
    <xf numFmtId="176" fontId="6" fillId="0" borderId="12" xfId="0" applyNumberFormat="1" applyFont="1" applyFill="1" applyBorder="1" applyAlignment="1">
      <alignment horizontal="left" vertical="center" wrapText="1"/>
    </xf>
    <xf numFmtId="0" fontId="6" fillId="0" borderId="9" xfId="0" applyFont="1" applyFill="1" applyBorder="1" applyAlignment="1">
      <alignment vertical="center"/>
    </xf>
    <xf numFmtId="0" fontId="6" fillId="0" borderId="20" xfId="0" applyFont="1" applyFill="1" applyBorder="1" applyAlignment="1">
      <alignment vertical="center"/>
    </xf>
    <xf numFmtId="176" fontId="6" fillId="0" borderId="4" xfId="1" applyNumberFormat="1" applyFont="1" applyFill="1" applyBorder="1" applyAlignment="1">
      <alignment horizontal="right" vertical="center"/>
    </xf>
    <xf numFmtId="177" fontId="11" fillId="0" borderId="9" xfId="1" applyNumberFormat="1" applyFont="1" applyFill="1" applyBorder="1" applyAlignment="1">
      <alignment vertical="center"/>
    </xf>
    <xf numFmtId="176" fontId="6" fillId="0" borderId="6" xfId="1" applyNumberFormat="1" applyFont="1" applyFill="1" applyBorder="1" applyAlignment="1">
      <alignment vertical="center"/>
    </xf>
    <xf numFmtId="176" fontId="6" fillId="0" borderId="2" xfId="1" applyNumberFormat="1" applyFont="1" applyFill="1" applyBorder="1" applyAlignment="1">
      <alignment horizontal="left" vertical="center"/>
    </xf>
    <xf numFmtId="38" fontId="12" fillId="0" borderId="11" xfId="1" applyFont="1" applyFill="1" applyBorder="1" applyAlignment="1">
      <alignment vertical="center"/>
    </xf>
    <xf numFmtId="177" fontId="13" fillId="0" borderId="9" xfId="1" applyNumberFormat="1" applyFont="1" applyFill="1" applyBorder="1" applyAlignment="1">
      <alignment vertical="center"/>
    </xf>
    <xf numFmtId="38" fontId="1" fillId="0" borderId="11" xfId="1" applyFont="1" applyFill="1" applyBorder="1" applyAlignment="1">
      <alignment vertical="center"/>
    </xf>
    <xf numFmtId="38" fontId="1" fillId="0" borderId="21" xfId="1" applyFont="1" applyFill="1" applyBorder="1" applyAlignment="1">
      <alignment vertical="center"/>
    </xf>
    <xf numFmtId="177" fontId="14" fillId="0" borderId="3" xfId="1" applyNumberFormat="1" applyFont="1" applyFill="1" applyBorder="1" applyAlignment="1">
      <alignment horizontal="center" vertical="center" wrapText="1" shrinkToFit="1"/>
    </xf>
    <xf numFmtId="177" fontId="15" fillId="0" borderId="9" xfId="1" applyNumberFormat="1" applyFont="1" applyFill="1" applyBorder="1" applyAlignment="1">
      <alignment vertical="center"/>
    </xf>
    <xf numFmtId="176" fontId="6" fillId="0" borderId="7" xfId="1" applyNumberFormat="1" applyFont="1" applyFill="1" applyBorder="1" applyAlignment="1">
      <alignment vertical="center" shrinkToFit="1"/>
    </xf>
    <xf numFmtId="176" fontId="6" fillId="0" borderId="11" xfId="0" applyNumberFormat="1" applyFont="1" applyFill="1" applyBorder="1" applyAlignment="1">
      <alignment vertical="center" shrinkToFit="1"/>
    </xf>
    <xf numFmtId="176" fontId="6" fillId="0" borderId="11" xfId="1" applyNumberFormat="1" applyFont="1" applyFill="1" applyBorder="1" applyAlignment="1">
      <alignment vertical="center" shrinkToFit="1"/>
    </xf>
    <xf numFmtId="176" fontId="6" fillId="0" borderId="11" xfId="0" applyNumberFormat="1" applyFont="1" applyFill="1" applyBorder="1" applyAlignment="1">
      <alignment vertical="center"/>
    </xf>
    <xf numFmtId="176" fontId="6" fillId="0" borderId="11" xfId="1" applyNumberFormat="1" applyFont="1" applyFill="1" applyBorder="1" applyAlignment="1">
      <alignment vertical="center"/>
    </xf>
    <xf numFmtId="176" fontId="6" fillId="0" borderId="21" xfId="1" applyNumberFormat="1" applyFont="1" applyFill="1" applyBorder="1" applyAlignment="1">
      <alignment vertical="center"/>
    </xf>
    <xf numFmtId="176" fontId="6" fillId="0" borderId="1" xfId="1" applyNumberFormat="1" applyFont="1" applyFill="1" applyBorder="1" applyAlignment="1">
      <alignment horizontal="center" vertical="center"/>
    </xf>
    <xf numFmtId="176" fontId="6" fillId="0" borderId="8" xfId="0" applyNumberFormat="1" applyFont="1" applyFill="1" applyBorder="1" applyAlignment="1">
      <alignment vertical="center" shrinkToFit="1"/>
    </xf>
    <xf numFmtId="176" fontId="6" fillId="0" borderId="14" xfId="1" applyNumberFormat="1" applyFont="1" applyFill="1" applyBorder="1" applyAlignment="1">
      <alignment vertical="center"/>
    </xf>
    <xf numFmtId="177" fontId="6" fillId="0" borderId="23" xfId="1" applyNumberFormat="1" applyFont="1" applyFill="1" applyBorder="1" applyAlignment="1">
      <alignment horizontal="center" vertical="center" shrinkToFit="1"/>
    </xf>
    <xf numFmtId="177" fontId="6" fillId="0" borderId="28" xfId="1" applyNumberFormat="1" applyFont="1" applyFill="1" applyBorder="1" applyAlignment="1">
      <alignment horizontal="center" vertical="center" shrinkToFit="1"/>
    </xf>
    <xf numFmtId="177" fontId="6" fillId="0" borderId="29" xfId="1" applyNumberFormat="1" applyFont="1" applyFill="1" applyBorder="1" applyAlignment="1">
      <alignment horizontal="center" vertical="center" shrinkToFit="1"/>
    </xf>
    <xf numFmtId="177" fontId="14" fillId="0" borderId="30" xfId="1" applyNumberFormat="1" applyFont="1" applyFill="1" applyBorder="1" applyAlignment="1">
      <alignment horizontal="center" vertical="center" wrapText="1" shrinkToFit="1"/>
    </xf>
    <xf numFmtId="38" fontId="7" fillId="0" borderId="31" xfId="1" applyFont="1" applyFill="1" applyBorder="1" applyAlignment="1">
      <alignment vertical="center"/>
    </xf>
    <xf numFmtId="38" fontId="7" fillId="0" borderId="32" xfId="1" applyFont="1" applyFill="1" applyBorder="1" applyAlignment="1">
      <alignment vertical="center"/>
    </xf>
    <xf numFmtId="38" fontId="7" fillId="0" borderId="33" xfId="1" applyFont="1" applyFill="1" applyBorder="1" applyAlignment="1">
      <alignment vertical="center"/>
    </xf>
    <xf numFmtId="38" fontId="7" fillId="0" borderId="34" xfId="1" applyFont="1" applyFill="1" applyBorder="1" applyAlignment="1">
      <alignment vertical="center"/>
    </xf>
    <xf numFmtId="38" fontId="7" fillId="0" borderId="35" xfId="1" applyFont="1" applyFill="1" applyBorder="1" applyAlignment="1">
      <alignment vertical="center"/>
    </xf>
    <xf numFmtId="38" fontId="7" fillId="0" borderId="36" xfId="1" applyFont="1" applyFill="1" applyBorder="1" applyAlignment="1">
      <alignment vertical="center"/>
    </xf>
    <xf numFmtId="38" fontId="7" fillId="0" borderId="37" xfId="1" applyFont="1" applyFill="1" applyBorder="1" applyAlignment="1">
      <alignment vertical="center"/>
    </xf>
    <xf numFmtId="38" fontId="7" fillId="0" borderId="38" xfId="1" applyFont="1" applyFill="1" applyBorder="1" applyAlignment="1">
      <alignment vertical="center"/>
    </xf>
    <xf numFmtId="38" fontId="7" fillId="0" borderId="39" xfId="1" applyFont="1" applyFill="1" applyBorder="1" applyAlignment="1">
      <alignment vertical="center"/>
    </xf>
    <xf numFmtId="38" fontId="7" fillId="0" borderId="40" xfId="1" applyFont="1" applyFill="1" applyBorder="1" applyAlignment="1">
      <alignment vertical="center"/>
    </xf>
    <xf numFmtId="38" fontId="7" fillId="0" borderId="41" xfId="1" applyFont="1" applyFill="1" applyBorder="1" applyAlignment="1">
      <alignment vertical="center"/>
    </xf>
    <xf numFmtId="177" fontId="6" fillId="0" borderId="0" xfId="1" applyNumberFormat="1" applyFont="1" applyFill="1" applyBorder="1" applyAlignment="1">
      <alignment vertical="center" shrinkToFit="1"/>
    </xf>
    <xf numFmtId="176" fontId="6" fillId="0" borderId="1" xfId="1" applyNumberFormat="1" applyFont="1" applyFill="1" applyBorder="1" applyAlignment="1">
      <alignment horizontal="left" vertical="center"/>
    </xf>
    <xf numFmtId="38" fontId="9" fillId="0" borderId="42" xfId="1" applyFont="1" applyFill="1" applyBorder="1" applyAlignment="1">
      <alignment horizontal="center" vertical="center"/>
    </xf>
    <xf numFmtId="38" fontId="9" fillId="0" borderId="29" xfId="1" applyFont="1" applyFill="1" applyBorder="1" applyAlignment="1">
      <alignment horizontal="center" vertical="center"/>
    </xf>
    <xf numFmtId="177" fontId="6" fillId="0" borderId="30" xfId="1" applyNumberFormat="1" applyFont="1" applyFill="1" applyBorder="1" applyAlignment="1">
      <alignment horizontal="center" vertical="center" wrapText="1" shrinkToFit="1"/>
    </xf>
    <xf numFmtId="38" fontId="7" fillId="0" borderId="43" xfId="1" applyFont="1" applyFill="1" applyBorder="1" applyAlignment="1">
      <alignment vertical="center"/>
    </xf>
    <xf numFmtId="38" fontId="7" fillId="0" borderId="44" xfId="1" applyFont="1" applyFill="1" applyBorder="1" applyAlignment="1">
      <alignment vertical="center"/>
    </xf>
    <xf numFmtId="38" fontId="7" fillId="0" borderId="45" xfId="1" applyFont="1" applyFill="1" applyBorder="1" applyAlignment="1">
      <alignment vertical="center"/>
    </xf>
    <xf numFmtId="38" fontId="7" fillId="0" borderId="46" xfId="1" applyFont="1" applyFill="1" applyBorder="1" applyAlignment="1">
      <alignment vertical="center"/>
    </xf>
    <xf numFmtId="38" fontId="7" fillId="0" borderId="47" xfId="1" applyFont="1" applyFill="1" applyBorder="1" applyAlignment="1">
      <alignment vertical="center"/>
    </xf>
    <xf numFmtId="38" fontId="7" fillId="0" borderId="48" xfId="1" applyFont="1" applyFill="1" applyBorder="1" applyAlignment="1">
      <alignment vertical="center"/>
    </xf>
    <xf numFmtId="38" fontId="7" fillId="0" borderId="49" xfId="1" applyFont="1" applyFill="1" applyBorder="1" applyAlignment="1">
      <alignment vertical="center"/>
    </xf>
    <xf numFmtId="38" fontId="7" fillId="0" borderId="50" xfId="1" applyFont="1" applyFill="1" applyBorder="1" applyAlignment="1">
      <alignment vertical="center"/>
    </xf>
    <xf numFmtId="38" fontId="7" fillId="0" borderId="51" xfId="1" applyFont="1" applyFill="1" applyBorder="1" applyAlignment="1">
      <alignment vertical="center"/>
    </xf>
    <xf numFmtId="38" fontId="7" fillId="0" borderId="52" xfId="1" applyFont="1" applyFill="1" applyBorder="1" applyAlignment="1">
      <alignment vertical="center"/>
    </xf>
    <xf numFmtId="38" fontId="7" fillId="0" borderId="53" xfId="1" applyFont="1" applyFill="1" applyBorder="1" applyAlignment="1">
      <alignment vertical="center"/>
    </xf>
    <xf numFmtId="38" fontId="1" fillId="0" borderId="5" xfId="1" applyFont="1" applyFill="1" applyBorder="1" applyAlignment="1">
      <alignment vertical="center" shrinkToFit="1"/>
    </xf>
    <xf numFmtId="38" fontId="1" fillId="0" borderId="7" xfId="1" applyFont="1" applyFill="1" applyBorder="1" applyAlignment="1">
      <alignment vertical="center" shrinkToFit="1"/>
    </xf>
    <xf numFmtId="38" fontId="1" fillId="0" borderId="8" xfId="1" applyFont="1" applyFill="1" applyBorder="1" applyAlignment="1">
      <alignment vertical="center" shrinkToFit="1"/>
    </xf>
    <xf numFmtId="38" fontId="1" fillId="0" borderId="11" xfId="1" applyFont="1" applyFill="1" applyBorder="1" applyAlignment="1">
      <alignment vertical="center" shrinkToFit="1"/>
    </xf>
    <xf numFmtId="38" fontId="1" fillId="0" borderId="8" xfId="1" applyFont="1" applyFill="1" applyBorder="1" applyAlignment="1">
      <alignment vertical="center"/>
    </xf>
    <xf numFmtId="38" fontId="1" fillId="0" borderId="0" xfId="1" applyFont="1" applyFill="1" applyBorder="1" applyAlignment="1">
      <alignment vertical="center"/>
    </xf>
    <xf numFmtId="38" fontId="1" fillId="0" borderId="12" xfId="1" applyFont="1" applyFill="1" applyBorder="1" applyAlignment="1">
      <alignment vertical="center"/>
    </xf>
    <xf numFmtId="38" fontId="1" fillId="0" borderId="16" xfId="1" applyFont="1" applyFill="1" applyBorder="1" applyAlignment="1">
      <alignment horizontal="right" vertical="center"/>
    </xf>
    <xf numFmtId="38" fontId="1" fillId="0" borderId="15" xfId="1" applyFont="1" applyFill="1" applyBorder="1" applyAlignment="1">
      <alignment horizontal="right" vertical="center"/>
    </xf>
    <xf numFmtId="38" fontId="1" fillId="0" borderId="7" xfId="1" applyFont="1" applyFill="1" applyBorder="1" applyAlignment="1">
      <alignment horizontal="right" vertical="center"/>
    </xf>
    <xf numFmtId="38" fontId="1" fillId="0" borderId="18" xfId="1" applyFont="1" applyFill="1" applyBorder="1" applyAlignment="1">
      <alignment horizontal="right" vertical="center"/>
    </xf>
    <xf numFmtId="38" fontId="1" fillId="0" borderId="4" xfId="1" applyFont="1" applyFill="1" applyBorder="1" applyAlignment="1">
      <alignment horizontal="right" vertical="center"/>
    </xf>
    <xf numFmtId="38" fontId="1" fillId="0" borderId="3" xfId="1" applyFont="1" applyFill="1" applyBorder="1" applyAlignment="1">
      <alignment horizontal="right" vertical="center"/>
    </xf>
    <xf numFmtId="38" fontId="1" fillId="0" borderId="22" xfId="1" applyFont="1" applyFill="1" applyBorder="1" applyAlignment="1">
      <alignment horizontal="right" vertical="center"/>
    </xf>
    <xf numFmtId="38" fontId="1" fillId="0" borderId="20" xfId="1" applyFont="1" applyFill="1" applyBorder="1" applyAlignment="1">
      <alignment horizontal="right" vertical="center"/>
    </xf>
    <xf numFmtId="38" fontId="1" fillId="0" borderId="21" xfId="1" applyFont="1" applyFill="1" applyBorder="1" applyAlignment="1">
      <alignment horizontal="right" vertical="center"/>
    </xf>
    <xf numFmtId="176" fontId="6" fillId="0" borderId="2" xfId="0" applyNumberFormat="1" applyFont="1" applyFill="1" applyBorder="1" applyAlignment="1">
      <alignment horizontal="center" vertical="center" wrapText="1"/>
    </xf>
    <xf numFmtId="38" fontId="1" fillId="0" borderId="9" xfId="1" applyFont="1" applyFill="1" applyBorder="1" applyAlignment="1">
      <alignment vertical="center" shrinkToFit="1"/>
    </xf>
    <xf numFmtId="38" fontId="1" fillId="0" borderId="23" xfId="1" applyFont="1" applyFill="1" applyBorder="1" applyAlignment="1">
      <alignment horizontal="right" vertical="center"/>
    </xf>
    <xf numFmtId="38" fontId="1" fillId="0" borderId="9" xfId="1" applyFont="1" applyFill="1" applyBorder="1" applyAlignment="1">
      <alignment vertical="center"/>
    </xf>
    <xf numFmtId="38" fontId="1" fillId="0" borderId="5" xfId="1" applyFont="1" applyFill="1" applyBorder="1" applyAlignment="1">
      <alignment vertical="center"/>
    </xf>
    <xf numFmtId="38" fontId="1" fillId="0" borderId="1" xfId="1" applyFont="1" applyFill="1" applyBorder="1" applyAlignment="1">
      <alignment vertical="center"/>
    </xf>
    <xf numFmtId="38" fontId="1" fillId="0" borderId="25" xfId="1" applyFont="1" applyFill="1" applyBorder="1" applyAlignment="1">
      <alignment horizontal="right" vertical="center"/>
    </xf>
    <xf numFmtId="38" fontId="1" fillId="0" borderId="0" xfId="1" applyFont="1" applyFill="1" applyBorder="1" applyAlignment="1">
      <alignment vertical="center" shrinkToFit="1"/>
    </xf>
    <xf numFmtId="38" fontId="1" fillId="0" borderId="5" xfId="1" applyFont="1" applyFill="1" applyBorder="1" applyAlignment="1">
      <alignment horizontal="left" vertical="center"/>
    </xf>
    <xf numFmtId="38" fontId="1" fillId="0" borderId="24" xfId="1" applyFont="1" applyFill="1" applyBorder="1" applyAlignment="1">
      <alignment horizontal="right" vertical="center"/>
    </xf>
    <xf numFmtId="38" fontId="1" fillId="0" borderId="5" xfId="1" applyFont="1" applyFill="1" applyBorder="1" applyAlignment="1">
      <alignment horizontal="right" vertical="center"/>
    </xf>
    <xf numFmtId="38" fontId="16" fillId="0" borderId="23" xfId="1" applyFont="1" applyFill="1" applyBorder="1" applyAlignment="1">
      <alignment horizontal="right" vertical="center"/>
    </xf>
    <xf numFmtId="38" fontId="7" fillId="0" borderId="8" xfId="1" applyFont="1" applyFill="1" applyBorder="1" applyAlignment="1">
      <alignment vertical="center" shrinkToFit="1"/>
    </xf>
    <xf numFmtId="38" fontId="9" fillId="0" borderId="8" xfId="1" applyFont="1" applyFill="1" applyBorder="1" applyAlignment="1">
      <alignment vertical="center" shrinkToFit="1"/>
    </xf>
    <xf numFmtId="38" fontId="16" fillId="0" borderId="11" xfId="1" applyFont="1" applyFill="1" applyBorder="1" applyAlignment="1">
      <alignment vertical="center"/>
    </xf>
    <xf numFmtId="176" fontId="6" fillId="0" borderId="5" xfId="0" applyNumberFormat="1" applyFont="1" applyFill="1" applyBorder="1" applyAlignment="1">
      <alignment horizontal="left" vertical="center"/>
    </xf>
    <xf numFmtId="176" fontId="6" fillId="0" borderId="8" xfId="0" applyNumberFormat="1" applyFont="1" applyFill="1" applyBorder="1" applyAlignment="1">
      <alignment horizontal="left" vertical="center"/>
    </xf>
    <xf numFmtId="176" fontId="6" fillId="0" borderId="14" xfId="0" applyNumberFormat="1" applyFont="1" applyFill="1" applyBorder="1" applyAlignment="1">
      <alignment horizontal="left" vertical="center"/>
    </xf>
    <xf numFmtId="176" fontId="2" fillId="0" borderId="0" xfId="1" applyNumberFormat="1" applyFont="1" applyFill="1" applyBorder="1" applyAlignment="1">
      <alignment horizontal="center"/>
    </xf>
    <xf numFmtId="176" fontId="0" fillId="0" borderId="0" xfId="1" applyNumberFormat="1" applyFont="1" applyFill="1" applyBorder="1" applyAlignment="1">
      <alignment horizontal="center"/>
    </xf>
    <xf numFmtId="176" fontId="6" fillId="0" borderId="14" xfId="0" applyNumberFormat="1" applyFont="1" applyFill="1" applyBorder="1" applyAlignment="1">
      <alignment horizontal="right" vertical="center"/>
    </xf>
    <xf numFmtId="176" fontId="6" fillId="0" borderId="23" xfId="0" applyNumberFormat="1" applyFont="1" applyFill="1" applyBorder="1" applyAlignment="1">
      <alignment horizontal="right" vertical="center"/>
    </xf>
    <xf numFmtId="176" fontId="6" fillId="0" borderId="1" xfId="0" applyNumberFormat="1" applyFont="1" applyFill="1" applyBorder="1" applyAlignment="1">
      <alignment horizontal="right" vertical="center"/>
    </xf>
    <xf numFmtId="176" fontId="6" fillId="0" borderId="5" xfId="1" applyNumberFormat="1" applyFont="1" applyFill="1" applyBorder="1" applyAlignment="1">
      <alignment horizontal="left" vertical="center"/>
    </xf>
    <xf numFmtId="176" fontId="6" fillId="0" borderId="14" xfId="1" applyNumberFormat="1" applyFont="1" applyFill="1" applyBorder="1" applyAlignment="1">
      <alignment horizontal="left" vertical="center"/>
    </xf>
    <xf numFmtId="176" fontId="6" fillId="0" borderId="6" xfId="0" applyNumberFormat="1" applyFont="1" applyFill="1" applyBorder="1" applyAlignment="1">
      <alignment horizontal="left" vertical="center"/>
    </xf>
    <xf numFmtId="176" fontId="6" fillId="0" borderId="10" xfId="0" applyNumberFormat="1" applyFont="1" applyFill="1" applyBorder="1" applyAlignment="1">
      <alignment horizontal="left" vertical="center"/>
    </xf>
    <xf numFmtId="176" fontId="6" fillId="0" borderId="4" xfId="0" applyNumberFormat="1" applyFont="1" applyFill="1" applyBorder="1" applyAlignment="1">
      <alignment horizontal="right" vertical="center"/>
    </xf>
    <xf numFmtId="38" fontId="9" fillId="0" borderId="8" xfId="1" applyFont="1" applyFill="1" applyBorder="1" applyAlignment="1">
      <alignment horizontal="right" vertical="center" shrinkToFit="1"/>
    </xf>
    <xf numFmtId="38" fontId="9" fillId="0" borderId="9" xfId="1" applyFont="1" applyFill="1" applyBorder="1" applyAlignment="1">
      <alignment horizontal="right" vertical="center" shrinkToFit="1"/>
    </xf>
    <xf numFmtId="38" fontId="9" fillId="0" borderId="5" xfId="1" applyFont="1" applyFill="1" applyBorder="1" applyAlignment="1">
      <alignment horizontal="right" vertical="center" shrinkToFit="1"/>
    </xf>
    <xf numFmtId="38" fontId="9" fillId="0" borderId="15" xfId="1" applyFont="1" applyFill="1" applyBorder="1" applyAlignment="1">
      <alignment horizontal="right" vertical="center" shrinkToFi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91"/>
  <sheetViews>
    <sheetView topLeftCell="A73" zoomScale="86" zoomScaleNormal="86" workbookViewId="0">
      <selection activeCell="E71" sqref="E71:E78"/>
    </sheetView>
  </sheetViews>
  <sheetFormatPr defaultColWidth="9" defaultRowHeight="13.5" x14ac:dyDescent="0.15"/>
  <cols>
    <col min="1" max="1" width="12.875" style="1" customWidth="1"/>
    <col min="2" max="2" width="29.125" style="1" customWidth="1"/>
    <col min="3" max="3" width="8.75" style="1" customWidth="1"/>
    <col min="4" max="4" width="5.75" style="1" customWidth="1"/>
    <col min="5" max="5" width="12.75" style="1" customWidth="1"/>
    <col min="6" max="6" width="8.75" style="1" customWidth="1"/>
    <col min="7" max="7" width="5.75" style="1" customWidth="1"/>
    <col min="8" max="8" width="12.75" style="1" customWidth="1"/>
    <col min="9" max="9" width="42.75" style="1" customWidth="1"/>
    <col min="10" max="16384" width="9" style="1"/>
  </cols>
  <sheetData>
    <row r="1" spans="1:9" ht="17.25" x14ac:dyDescent="0.2">
      <c r="A1" s="157" t="s">
        <v>126</v>
      </c>
      <c r="B1" s="157"/>
      <c r="C1" s="157"/>
      <c r="D1" s="157"/>
      <c r="E1" s="157"/>
      <c r="F1" s="157"/>
      <c r="G1" s="157"/>
      <c r="H1" s="157"/>
      <c r="I1" s="157"/>
    </row>
    <row r="2" spans="1:9" ht="9.6" customHeight="1" x14ac:dyDescent="0.15">
      <c r="A2" s="158"/>
      <c r="B2" s="158"/>
      <c r="C2" s="158"/>
      <c r="D2" s="158"/>
      <c r="E2" s="158"/>
      <c r="F2" s="158"/>
      <c r="G2" s="158"/>
      <c r="H2" s="158"/>
      <c r="I2" s="158"/>
    </row>
    <row r="3" spans="1:9" ht="13.9" customHeight="1" thickBot="1" x14ac:dyDescent="0.25">
      <c r="A3" s="2" t="s">
        <v>0</v>
      </c>
      <c r="B3" s="3"/>
      <c r="C3" s="2"/>
      <c r="D3" s="2"/>
      <c r="E3" s="2"/>
      <c r="F3" s="2"/>
      <c r="G3" s="2"/>
      <c r="H3" s="2"/>
      <c r="I3" s="4" t="s">
        <v>1</v>
      </c>
    </row>
    <row r="4" spans="1:9" s="11" customFormat="1" ht="30" customHeight="1" x14ac:dyDescent="0.15">
      <c r="A4" s="5" t="s">
        <v>2</v>
      </c>
      <c r="B4" s="89" t="s">
        <v>3</v>
      </c>
      <c r="C4" s="93" t="s">
        <v>4</v>
      </c>
      <c r="D4" s="94" t="s">
        <v>5</v>
      </c>
      <c r="E4" s="95" t="s">
        <v>136</v>
      </c>
      <c r="F4" s="92" t="s">
        <v>4</v>
      </c>
      <c r="G4" s="8" t="s">
        <v>5</v>
      </c>
      <c r="H4" s="81" t="s">
        <v>139</v>
      </c>
      <c r="I4" s="10" t="s">
        <v>6</v>
      </c>
    </row>
    <row r="5" spans="1:9" s="11" customFormat="1" ht="13.9" customHeight="1" x14ac:dyDescent="0.15">
      <c r="A5" s="12" t="s">
        <v>7</v>
      </c>
      <c r="B5" s="55" t="s">
        <v>8</v>
      </c>
      <c r="C5" s="96">
        <v>40000</v>
      </c>
      <c r="D5" s="16">
        <v>40</v>
      </c>
      <c r="E5" s="97">
        <v>1600000</v>
      </c>
      <c r="F5" s="47">
        <v>40000</v>
      </c>
      <c r="G5" s="16">
        <v>20</v>
      </c>
      <c r="H5" s="15">
        <f>F5*G5</f>
        <v>800000</v>
      </c>
      <c r="I5" s="17" t="s">
        <v>145</v>
      </c>
    </row>
    <row r="6" spans="1:9" s="11" customFormat="1" ht="13.9" customHeight="1" x14ac:dyDescent="0.15">
      <c r="A6" s="18" t="s">
        <v>9</v>
      </c>
      <c r="B6" s="90" t="s">
        <v>10</v>
      </c>
      <c r="C6" s="98">
        <v>120000</v>
      </c>
      <c r="D6" s="16"/>
      <c r="E6" s="99">
        <v>11650000</v>
      </c>
      <c r="F6" s="24">
        <v>120000</v>
      </c>
      <c r="G6" s="16">
        <v>80</v>
      </c>
      <c r="H6" s="19">
        <f>F6*G6</f>
        <v>9600000</v>
      </c>
      <c r="I6" s="17" t="s">
        <v>148</v>
      </c>
    </row>
    <row r="7" spans="1:9" s="11" customFormat="1" ht="13.9" customHeight="1" x14ac:dyDescent="0.15">
      <c r="A7" s="18"/>
      <c r="B7" s="90" t="s">
        <v>129</v>
      </c>
      <c r="C7" s="98">
        <v>9000</v>
      </c>
      <c r="D7" s="16">
        <v>99</v>
      </c>
      <c r="E7" s="99">
        <v>891000</v>
      </c>
      <c r="F7" s="24"/>
      <c r="G7" s="16"/>
      <c r="H7" s="19"/>
      <c r="I7" s="17"/>
    </row>
    <row r="8" spans="1:9" s="11" customFormat="1" ht="13.9" customHeight="1" x14ac:dyDescent="0.15">
      <c r="A8" s="18"/>
      <c r="B8" s="90" t="s">
        <v>11</v>
      </c>
      <c r="C8" s="98">
        <v>30000</v>
      </c>
      <c r="D8" s="16">
        <v>5</v>
      </c>
      <c r="E8" s="99">
        <v>150000</v>
      </c>
      <c r="F8" s="24"/>
      <c r="G8" s="16"/>
      <c r="H8" s="19"/>
      <c r="I8" s="20"/>
    </row>
    <row r="9" spans="1:9" s="11" customFormat="1" ht="13.9" customHeight="1" x14ac:dyDescent="0.15">
      <c r="A9" s="18"/>
      <c r="B9" s="90" t="s">
        <v>12</v>
      </c>
      <c r="C9" s="98">
        <v>10000</v>
      </c>
      <c r="D9" s="16">
        <v>30</v>
      </c>
      <c r="E9" s="99">
        <v>300000</v>
      </c>
      <c r="F9" s="24"/>
      <c r="G9" s="16"/>
      <c r="H9" s="19"/>
      <c r="I9" s="20"/>
    </row>
    <row r="10" spans="1:9" s="11" customFormat="1" ht="13.9" customHeight="1" x14ac:dyDescent="0.15">
      <c r="A10" s="18" t="s">
        <v>13</v>
      </c>
      <c r="B10" s="90" t="s">
        <v>128</v>
      </c>
      <c r="C10" s="98"/>
      <c r="D10" s="16"/>
      <c r="E10" s="99"/>
      <c r="F10" s="24"/>
      <c r="G10" s="16"/>
      <c r="H10" s="19"/>
      <c r="I10" s="21"/>
    </row>
    <row r="11" spans="1:9" s="11" customFormat="1" ht="13.9" customHeight="1" x14ac:dyDescent="0.15">
      <c r="A11" s="18"/>
      <c r="B11" s="90" t="s">
        <v>110</v>
      </c>
      <c r="C11" s="98">
        <v>10000</v>
      </c>
      <c r="D11" s="16">
        <v>7</v>
      </c>
      <c r="E11" s="99">
        <v>70000</v>
      </c>
      <c r="F11" s="24"/>
      <c r="G11" s="16"/>
      <c r="H11" s="19"/>
      <c r="I11" s="21"/>
    </row>
    <row r="12" spans="1:9" s="11" customFormat="1" ht="13.9" customHeight="1" x14ac:dyDescent="0.15">
      <c r="A12" s="18"/>
      <c r="B12" s="90" t="s">
        <v>111</v>
      </c>
      <c r="C12" s="98"/>
      <c r="D12" s="16"/>
      <c r="E12" s="99">
        <v>1510000</v>
      </c>
      <c r="F12" s="24"/>
      <c r="G12" s="16"/>
      <c r="H12" s="19"/>
      <c r="I12" s="78" t="s">
        <v>14</v>
      </c>
    </row>
    <row r="13" spans="1:9" s="11" customFormat="1" ht="13.9" customHeight="1" x14ac:dyDescent="0.15">
      <c r="A13" s="22" t="s">
        <v>15</v>
      </c>
      <c r="B13" s="26" t="s">
        <v>16</v>
      </c>
      <c r="C13" s="98"/>
      <c r="D13" s="16"/>
      <c r="E13" s="99">
        <v>2330000</v>
      </c>
      <c r="F13" s="24"/>
      <c r="G13" s="16"/>
      <c r="H13" s="77"/>
      <c r="I13" s="78" t="s">
        <v>17</v>
      </c>
    </row>
    <row r="14" spans="1:9" s="11" customFormat="1" ht="13.9" customHeight="1" x14ac:dyDescent="0.15">
      <c r="A14" s="18"/>
      <c r="B14" s="26" t="s">
        <v>130</v>
      </c>
      <c r="C14" s="98"/>
      <c r="D14" s="16"/>
      <c r="E14" s="99">
        <v>100000</v>
      </c>
      <c r="F14" s="24"/>
      <c r="G14" s="16"/>
      <c r="H14" s="19"/>
      <c r="I14" s="17"/>
    </row>
    <row r="15" spans="1:9" s="11" customFormat="1" ht="13.9" customHeight="1" x14ac:dyDescent="0.15">
      <c r="A15" s="18"/>
      <c r="B15" s="26" t="s">
        <v>131</v>
      </c>
      <c r="C15" s="98"/>
      <c r="D15" s="16"/>
      <c r="E15" s="99">
        <v>100000</v>
      </c>
      <c r="F15" s="24"/>
      <c r="G15" s="16"/>
      <c r="H15" s="19"/>
      <c r="I15" s="17"/>
    </row>
    <row r="16" spans="1:9" s="11" customFormat="1" ht="13.9" customHeight="1" x14ac:dyDescent="0.15">
      <c r="A16" s="18" t="s">
        <v>18</v>
      </c>
      <c r="B16" s="18" t="s">
        <v>19</v>
      </c>
      <c r="C16" s="98"/>
      <c r="D16" s="16"/>
      <c r="E16" s="99">
        <v>1000</v>
      </c>
      <c r="F16" s="24"/>
      <c r="G16" s="16"/>
      <c r="H16" s="19">
        <v>1000</v>
      </c>
      <c r="I16" s="17" t="s">
        <v>20</v>
      </c>
    </row>
    <row r="17" spans="1:9" s="11" customFormat="1" ht="13.9" customHeight="1" x14ac:dyDescent="0.15">
      <c r="A17" s="18"/>
      <c r="B17" s="26" t="s">
        <v>21</v>
      </c>
      <c r="C17" s="98"/>
      <c r="D17" s="16"/>
      <c r="E17" s="99">
        <v>140000</v>
      </c>
      <c r="F17" s="24"/>
      <c r="G17" s="16"/>
      <c r="H17" s="19">
        <v>140000</v>
      </c>
      <c r="I17" s="27"/>
    </row>
    <row r="18" spans="1:9" s="11" customFormat="1" ht="13.9" customHeight="1" x14ac:dyDescent="0.15">
      <c r="A18" s="18"/>
      <c r="B18" s="26" t="s">
        <v>22</v>
      </c>
      <c r="C18" s="98"/>
      <c r="D18" s="16"/>
      <c r="E18" s="99">
        <v>200000</v>
      </c>
      <c r="F18" s="24"/>
      <c r="G18" s="16"/>
      <c r="H18" s="19">
        <v>200000</v>
      </c>
      <c r="I18" s="17"/>
    </row>
    <row r="19" spans="1:9" s="11" customFormat="1" ht="13.9" customHeight="1" x14ac:dyDescent="0.15">
      <c r="A19" s="18"/>
      <c r="B19" s="26" t="s">
        <v>23</v>
      </c>
      <c r="C19" s="98">
        <v>10000</v>
      </c>
      <c r="D19" s="16">
        <v>23</v>
      </c>
      <c r="E19" s="99">
        <v>230000</v>
      </c>
      <c r="F19" s="24">
        <v>10000</v>
      </c>
      <c r="G19" s="16">
        <v>14</v>
      </c>
      <c r="H19" s="19">
        <f>F19*G19</f>
        <v>140000</v>
      </c>
      <c r="I19" s="20" t="s">
        <v>24</v>
      </c>
    </row>
    <row r="20" spans="1:9" s="11" customFormat="1" ht="13.9" customHeight="1" x14ac:dyDescent="0.15">
      <c r="A20" s="18"/>
      <c r="B20" s="26" t="s">
        <v>25</v>
      </c>
      <c r="C20" s="98"/>
      <c r="D20" s="16"/>
      <c r="E20" s="99">
        <v>120000</v>
      </c>
      <c r="F20" s="24"/>
      <c r="G20" s="16"/>
      <c r="H20" s="19">
        <v>120000</v>
      </c>
      <c r="I20" s="17"/>
    </row>
    <row r="21" spans="1:9" s="11" customFormat="1" ht="13.9" customHeight="1" x14ac:dyDescent="0.15">
      <c r="A21" s="18"/>
      <c r="B21" s="26" t="s">
        <v>26</v>
      </c>
      <c r="C21" s="98"/>
      <c r="D21" s="16"/>
      <c r="E21" s="99">
        <v>35000</v>
      </c>
      <c r="F21" s="24"/>
      <c r="G21" s="16"/>
      <c r="H21" s="19">
        <v>35000</v>
      </c>
      <c r="I21" s="74" t="s">
        <v>138</v>
      </c>
    </row>
    <row r="22" spans="1:9" s="11" customFormat="1" ht="13.9" customHeight="1" x14ac:dyDescent="0.15">
      <c r="A22" s="29" t="s">
        <v>27</v>
      </c>
      <c r="B22" s="62" t="s">
        <v>28</v>
      </c>
      <c r="C22" s="98"/>
      <c r="D22" s="16"/>
      <c r="E22" s="99">
        <v>1000000</v>
      </c>
      <c r="F22" s="24"/>
      <c r="G22" s="16"/>
      <c r="H22" s="19"/>
      <c r="I22" s="17"/>
    </row>
    <row r="23" spans="1:9" s="11" customFormat="1" ht="13.9" customHeight="1" x14ac:dyDescent="0.15">
      <c r="A23" s="31"/>
      <c r="B23" s="91" t="s">
        <v>29</v>
      </c>
      <c r="C23" s="100"/>
      <c r="D23" s="24"/>
      <c r="E23" s="99"/>
      <c r="F23" s="57"/>
      <c r="G23" s="24"/>
      <c r="H23" s="19"/>
      <c r="I23" s="17"/>
    </row>
    <row r="24" spans="1:9" s="11" customFormat="1" ht="16.899999999999999" customHeight="1" x14ac:dyDescent="0.15">
      <c r="A24" s="159" t="s">
        <v>30</v>
      </c>
      <c r="B24" s="160"/>
      <c r="C24" s="101"/>
      <c r="D24" s="14"/>
      <c r="E24" s="97">
        <f>SUM(E5:E23)</f>
        <v>20427000</v>
      </c>
      <c r="F24" s="35"/>
      <c r="G24" s="14"/>
      <c r="H24" s="37">
        <f>SUM(H5:H23)</f>
        <v>11036000</v>
      </c>
      <c r="I24" s="17"/>
    </row>
    <row r="25" spans="1:9" s="11" customFormat="1" ht="16.899999999999999" customHeight="1" x14ac:dyDescent="0.15">
      <c r="A25" s="161" t="s">
        <v>31</v>
      </c>
      <c r="B25" s="160"/>
      <c r="C25" s="102"/>
      <c r="D25" s="39"/>
      <c r="E25" s="103">
        <v>2570892</v>
      </c>
      <c r="F25" s="38"/>
      <c r="G25" s="39"/>
      <c r="H25" s="60">
        <v>2806717</v>
      </c>
      <c r="I25" s="82" t="s">
        <v>32</v>
      </c>
    </row>
    <row r="26" spans="1:9" s="11" customFormat="1" ht="16.899999999999999" customHeight="1" thickBot="1" x14ac:dyDescent="0.2">
      <c r="A26" s="161" t="s">
        <v>33</v>
      </c>
      <c r="B26" s="160"/>
      <c r="C26" s="104"/>
      <c r="D26" s="105"/>
      <c r="E26" s="106">
        <f>SUM(E24:E25)</f>
        <v>22997892</v>
      </c>
      <c r="F26" s="41"/>
      <c r="G26" s="33"/>
      <c r="H26" s="44">
        <f>SUM(H24:H25)</f>
        <v>13842717</v>
      </c>
      <c r="I26" s="45"/>
    </row>
    <row r="27" spans="1:9" s="11" customFormat="1" x14ac:dyDescent="0.15">
      <c r="A27" s="46"/>
      <c r="B27" s="46"/>
      <c r="C27" s="24"/>
      <c r="D27" s="24"/>
      <c r="E27" s="24"/>
      <c r="F27" s="24"/>
      <c r="G27" s="24"/>
      <c r="H27" s="24"/>
      <c r="I27" s="48"/>
    </row>
    <row r="28" spans="1:9" s="11" customFormat="1" ht="14.25" thickBot="1" x14ac:dyDescent="0.2">
      <c r="A28" s="49" t="s">
        <v>34</v>
      </c>
      <c r="B28" s="50"/>
      <c r="C28" s="24"/>
      <c r="D28" s="24"/>
      <c r="E28" s="24"/>
      <c r="F28" s="24"/>
      <c r="G28" s="24"/>
      <c r="H28" s="24"/>
      <c r="I28" s="52"/>
    </row>
    <row r="29" spans="1:9" s="11" customFormat="1" ht="30" customHeight="1" x14ac:dyDescent="0.15">
      <c r="A29" s="53" t="str">
        <f>A4</f>
        <v>項　目</v>
      </c>
      <c r="B29" s="5" t="str">
        <f>B4</f>
        <v>勘 定 科 目</v>
      </c>
      <c r="C29" s="109" t="str">
        <f>C4</f>
        <v>単価</v>
      </c>
      <c r="D29" s="110" t="str">
        <f>D4</f>
        <v>人員</v>
      </c>
      <c r="E29" s="111" t="str">
        <f>E4</f>
        <v>2019年　　　　　　　　　　　　　　　　　　補正後予算額</v>
      </c>
      <c r="F29" s="92" t="s">
        <v>4</v>
      </c>
      <c r="G29" s="8" t="s">
        <v>5</v>
      </c>
      <c r="H29" s="9" t="str">
        <f>H4</f>
        <v>2020年　　　　　　　　　　　　　　　　　　　当初予算額</v>
      </c>
      <c r="I29" s="10" t="s">
        <v>6</v>
      </c>
    </row>
    <row r="30" spans="1:9" s="11" customFormat="1" ht="13.9" customHeight="1" x14ac:dyDescent="0.15">
      <c r="A30" s="154" t="s">
        <v>35</v>
      </c>
      <c r="B30" s="55" t="s">
        <v>36</v>
      </c>
      <c r="C30" s="101">
        <v>1690</v>
      </c>
      <c r="D30" s="35"/>
      <c r="E30" s="99">
        <v>180830</v>
      </c>
      <c r="F30" s="35">
        <v>1612</v>
      </c>
      <c r="G30" s="35">
        <v>80</v>
      </c>
      <c r="H30" s="19">
        <f>F30*G30</f>
        <v>128960</v>
      </c>
      <c r="I30" s="17" t="s">
        <v>149</v>
      </c>
    </row>
    <row r="31" spans="1:9" s="11" customFormat="1" ht="13.9" customHeight="1" x14ac:dyDescent="0.15">
      <c r="A31" s="155"/>
      <c r="B31" s="26" t="s">
        <v>37</v>
      </c>
      <c r="C31" s="100"/>
      <c r="D31" s="57"/>
      <c r="E31" s="99">
        <v>60000</v>
      </c>
      <c r="F31" s="57"/>
      <c r="G31" s="57"/>
      <c r="H31" s="19">
        <v>60000</v>
      </c>
      <c r="I31" s="17" t="s">
        <v>150</v>
      </c>
    </row>
    <row r="32" spans="1:9" s="11" customFormat="1" ht="13.9" customHeight="1" x14ac:dyDescent="0.15">
      <c r="A32" s="155"/>
      <c r="B32" s="26" t="s">
        <v>38</v>
      </c>
      <c r="C32" s="100">
        <v>5000</v>
      </c>
      <c r="D32" s="57"/>
      <c r="E32" s="99">
        <v>535000</v>
      </c>
      <c r="F32" s="57">
        <v>5000</v>
      </c>
      <c r="G32" s="57">
        <v>80</v>
      </c>
      <c r="H32" s="19">
        <f>F32*G32</f>
        <v>400000</v>
      </c>
      <c r="I32" s="17"/>
    </row>
    <row r="33" spans="1:9" s="11" customFormat="1" ht="13.9" customHeight="1" x14ac:dyDescent="0.15">
      <c r="A33" s="155"/>
      <c r="B33" s="26" t="s">
        <v>39</v>
      </c>
      <c r="C33" s="100">
        <v>1825</v>
      </c>
      <c r="D33" s="57"/>
      <c r="E33" s="99">
        <v>195275</v>
      </c>
      <c r="F33" s="57">
        <v>1825</v>
      </c>
      <c r="G33" s="57">
        <v>80</v>
      </c>
      <c r="H33" s="19">
        <f t="shared" ref="H33:H38" si="0">F33*G33</f>
        <v>146000</v>
      </c>
      <c r="I33" s="17"/>
    </row>
    <row r="34" spans="1:9" s="11" customFormat="1" ht="13.9" customHeight="1" x14ac:dyDescent="0.15">
      <c r="A34" s="155"/>
      <c r="B34" s="26" t="s">
        <v>40</v>
      </c>
      <c r="C34" s="100">
        <v>3000</v>
      </c>
      <c r="D34" s="57"/>
      <c r="E34" s="99">
        <v>321000</v>
      </c>
      <c r="F34" s="57">
        <v>3000</v>
      </c>
      <c r="G34" s="57">
        <v>80</v>
      </c>
      <c r="H34" s="19">
        <f t="shared" si="0"/>
        <v>240000</v>
      </c>
      <c r="I34" s="17"/>
    </row>
    <row r="35" spans="1:9" s="11" customFormat="1" ht="13.9" customHeight="1" x14ac:dyDescent="0.15">
      <c r="A35" s="155"/>
      <c r="B35" s="26" t="s">
        <v>41</v>
      </c>
      <c r="C35" s="100">
        <v>4000</v>
      </c>
      <c r="D35" s="57"/>
      <c r="E35" s="99">
        <v>428000</v>
      </c>
      <c r="F35" s="57">
        <v>4000</v>
      </c>
      <c r="G35" s="57">
        <v>80</v>
      </c>
      <c r="H35" s="19">
        <f t="shared" si="0"/>
        <v>320000</v>
      </c>
      <c r="I35" s="20" t="s">
        <v>42</v>
      </c>
    </row>
    <row r="36" spans="1:9" s="11" customFormat="1" ht="13.9" customHeight="1" x14ac:dyDescent="0.15">
      <c r="A36" s="155"/>
      <c r="B36" s="26" t="s">
        <v>43</v>
      </c>
      <c r="C36" s="100"/>
      <c r="D36" s="57"/>
      <c r="E36" s="99">
        <v>30000</v>
      </c>
      <c r="F36" s="57"/>
      <c r="G36" s="57"/>
      <c r="H36" s="19"/>
      <c r="I36" s="17"/>
    </row>
    <row r="37" spans="1:9" s="11" customFormat="1" ht="13.9" customHeight="1" x14ac:dyDescent="0.15">
      <c r="A37" s="155"/>
      <c r="B37" s="26" t="s">
        <v>44</v>
      </c>
      <c r="C37" s="100">
        <v>3500</v>
      </c>
      <c r="D37" s="57"/>
      <c r="E37" s="99">
        <v>374500</v>
      </c>
      <c r="F37" s="57">
        <v>3500</v>
      </c>
      <c r="G37" s="57">
        <v>80</v>
      </c>
      <c r="H37" s="19">
        <f t="shared" si="0"/>
        <v>280000</v>
      </c>
      <c r="I37" s="17"/>
    </row>
    <row r="38" spans="1:9" s="11" customFormat="1" ht="13.9" customHeight="1" x14ac:dyDescent="0.15">
      <c r="A38" s="155"/>
      <c r="B38" s="26" t="s">
        <v>45</v>
      </c>
      <c r="C38" s="100">
        <v>20000</v>
      </c>
      <c r="D38" s="57">
        <v>8</v>
      </c>
      <c r="E38" s="99">
        <v>160000</v>
      </c>
      <c r="F38" s="57">
        <v>20000</v>
      </c>
      <c r="G38" s="57">
        <v>8</v>
      </c>
      <c r="H38" s="19">
        <f t="shared" si="0"/>
        <v>160000</v>
      </c>
      <c r="I38" s="17"/>
    </row>
    <row r="39" spans="1:9" s="11" customFormat="1" ht="13.9" customHeight="1" x14ac:dyDescent="0.15">
      <c r="A39" s="155"/>
      <c r="B39" s="26" t="s">
        <v>46</v>
      </c>
      <c r="C39" s="100"/>
      <c r="D39" s="57"/>
      <c r="E39" s="99"/>
      <c r="F39" s="57"/>
      <c r="G39" s="57"/>
      <c r="H39" s="19"/>
      <c r="I39" s="17"/>
    </row>
    <row r="40" spans="1:9" s="11" customFormat="1" ht="13.9" customHeight="1" x14ac:dyDescent="0.15">
      <c r="A40" s="155"/>
      <c r="B40" s="26" t="s">
        <v>47</v>
      </c>
      <c r="C40" s="112">
        <v>10000</v>
      </c>
      <c r="D40" s="57">
        <v>23</v>
      </c>
      <c r="E40" s="99">
        <v>230000</v>
      </c>
      <c r="F40" s="41">
        <v>10000</v>
      </c>
      <c r="G40" s="57">
        <v>14</v>
      </c>
      <c r="H40" s="19">
        <f>F40*G40</f>
        <v>140000</v>
      </c>
      <c r="I40" s="17"/>
    </row>
    <row r="41" spans="1:9" s="11" customFormat="1" ht="16.899999999999999" customHeight="1" x14ac:dyDescent="0.15">
      <c r="A41" s="156"/>
      <c r="B41" s="58" t="s">
        <v>48</v>
      </c>
      <c r="C41" s="113"/>
      <c r="D41" s="39"/>
      <c r="E41" s="103">
        <f>SUM(E30:E40)</f>
        <v>2514605</v>
      </c>
      <c r="F41" s="38"/>
      <c r="G41" s="38"/>
      <c r="H41" s="61">
        <f>SUM(H30:H40)</f>
        <v>1874960</v>
      </c>
      <c r="I41" s="17"/>
    </row>
    <row r="42" spans="1:9" s="11" customFormat="1" ht="13.9" customHeight="1" x14ac:dyDescent="0.15">
      <c r="A42" s="154" t="s">
        <v>49</v>
      </c>
      <c r="B42" s="65" t="s">
        <v>50</v>
      </c>
      <c r="C42" s="100"/>
      <c r="D42" s="57"/>
      <c r="E42" s="99">
        <v>1550000</v>
      </c>
      <c r="F42" s="57"/>
      <c r="G42" s="57"/>
      <c r="H42" s="19">
        <v>1550000</v>
      </c>
      <c r="I42" s="63"/>
    </row>
    <row r="43" spans="1:9" s="11" customFormat="1" ht="13.9" customHeight="1" x14ac:dyDescent="0.15">
      <c r="A43" s="155"/>
      <c r="B43" s="62" t="s">
        <v>51</v>
      </c>
      <c r="C43" s="100"/>
      <c r="D43" s="57"/>
      <c r="E43" s="99">
        <v>20000</v>
      </c>
      <c r="F43" s="57"/>
      <c r="G43" s="57"/>
      <c r="H43" s="19">
        <v>20000</v>
      </c>
      <c r="I43" s="64" t="s">
        <v>122</v>
      </c>
    </row>
    <row r="44" spans="1:9" s="11" customFormat="1" ht="13.9" customHeight="1" x14ac:dyDescent="0.15">
      <c r="A44" s="155"/>
      <c r="B44" s="62" t="s">
        <v>52</v>
      </c>
      <c r="C44" s="100"/>
      <c r="D44" s="57"/>
      <c r="E44" s="99">
        <v>600000</v>
      </c>
      <c r="F44" s="57"/>
      <c r="G44" s="57"/>
      <c r="H44" s="79">
        <v>500000</v>
      </c>
      <c r="I44" s="17" t="s">
        <v>140</v>
      </c>
    </row>
    <row r="45" spans="1:9" s="11" customFormat="1" ht="13.9" customHeight="1" x14ac:dyDescent="0.15">
      <c r="A45" s="155"/>
      <c r="B45" s="62" t="s">
        <v>53</v>
      </c>
      <c r="C45" s="100"/>
      <c r="D45" s="57"/>
      <c r="E45" s="99">
        <v>250000</v>
      </c>
      <c r="F45" s="57"/>
      <c r="G45" s="57"/>
      <c r="H45" s="79">
        <v>250000</v>
      </c>
      <c r="I45" s="17" t="s">
        <v>54</v>
      </c>
    </row>
    <row r="46" spans="1:9" s="11" customFormat="1" ht="13.9" customHeight="1" x14ac:dyDescent="0.15">
      <c r="A46" s="155"/>
      <c r="B46" s="62" t="s">
        <v>55</v>
      </c>
      <c r="C46" s="100"/>
      <c r="D46" s="57"/>
      <c r="E46" s="99">
        <v>1550000</v>
      </c>
      <c r="F46" s="57"/>
      <c r="G46" s="57"/>
      <c r="H46" s="19">
        <v>1450000</v>
      </c>
      <c r="I46" s="20" t="s">
        <v>124</v>
      </c>
    </row>
    <row r="47" spans="1:9" s="11" customFormat="1" ht="13.9" customHeight="1" x14ac:dyDescent="0.15">
      <c r="A47" s="155"/>
      <c r="B47" s="62" t="s">
        <v>56</v>
      </c>
      <c r="C47" s="100"/>
      <c r="D47" s="57"/>
      <c r="E47" s="99">
        <v>580000</v>
      </c>
      <c r="F47" s="57"/>
      <c r="G47" s="57"/>
      <c r="H47" s="79">
        <v>450000</v>
      </c>
      <c r="I47" s="20" t="s">
        <v>57</v>
      </c>
    </row>
    <row r="48" spans="1:9" s="11" customFormat="1" ht="13.9" customHeight="1" x14ac:dyDescent="0.15">
      <c r="A48" s="155"/>
      <c r="B48" s="62" t="s">
        <v>58</v>
      </c>
      <c r="C48" s="100"/>
      <c r="D48" s="57"/>
      <c r="E48" s="99">
        <v>650000</v>
      </c>
      <c r="F48" s="57"/>
      <c r="G48" s="57"/>
      <c r="H48" s="19">
        <v>650000</v>
      </c>
      <c r="I48" s="17" t="s">
        <v>125</v>
      </c>
    </row>
    <row r="49" spans="1:9" s="11" customFormat="1" ht="13.9" customHeight="1" x14ac:dyDescent="0.15">
      <c r="A49" s="155"/>
      <c r="B49" s="62" t="s">
        <v>59</v>
      </c>
      <c r="C49" s="100"/>
      <c r="D49" s="57"/>
      <c r="E49" s="99">
        <v>80000</v>
      </c>
      <c r="F49" s="57"/>
      <c r="G49" s="57"/>
      <c r="H49" s="19">
        <v>80000</v>
      </c>
      <c r="I49" s="17" t="s">
        <v>117</v>
      </c>
    </row>
    <row r="50" spans="1:9" s="11" customFormat="1" ht="13.9" customHeight="1" x14ac:dyDescent="0.15">
      <c r="A50" s="155"/>
      <c r="B50" s="62" t="s">
        <v>60</v>
      </c>
      <c r="C50" s="100"/>
      <c r="D50" s="57"/>
      <c r="E50" s="99">
        <v>94920</v>
      </c>
      <c r="F50" s="57"/>
      <c r="G50" s="57"/>
      <c r="H50" s="19">
        <v>94920</v>
      </c>
      <c r="I50" s="17" t="s">
        <v>61</v>
      </c>
    </row>
    <row r="51" spans="1:9" s="11" customFormat="1" ht="13.9" customHeight="1" x14ac:dyDescent="0.15">
      <c r="A51" s="155"/>
      <c r="B51" s="62" t="s">
        <v>62</v>
      </c>
      <c r="C51" s="100"/>
      <c r="D51" s="57"/>
      <c r="E51" s="99">
        <v>35000</v>
      </c>
      <c r="F51" s="57"/>
      <c r="G51" s="57"/>
      <c r="H51" s="19">
        <v>35000</v>
      </c>
      <c r="I51" s="17" t="s">
        <v>123</v>
      </c>
    </row>
    <row r="52" spans="1:9" s="11" customFormat="1" ht="13.9" customHeight="1" x14ac:dyDescent="0.15">
      <c r="A52" s="155"/>
      <c r="B52" s="91" t="s">
        <v>63</v>
      </c>
      <c r="C52" s="100"/>
      <c r="D52" s="57"/>
      <c r="E52" s="99">
        <v>81000</v>
      </c>
      <c r="F52" s="57"/>
      <c r="G52" s="57"/>
      <c r="H52" s="19">
        <v>81000</v>
      </c>
      <c r="I52" s="20" t="s">
        <v>64</v>
      </c>
    </row>
    <row r="53" spans="1:9" s="11" customFormat="1" ht="16.899999999999999" customHeight="1" x14ac:dyDescent="0.15">
      <c r="A53" s="156"/>
      <c r="B53" s="58" t="s">
        <v>65</v>
      </c>
      <c r="C53" s="113"/>
      <c r="D53" s="39"/>
      <c r="E53" s="103">
        <f>SUM(E42:E52)</f>
        <v>5490920</v>
      </c>
      <c r="F53" s="38"/>
      <c r="G53" s="38"/>
      <c r="H53" s="61">
        <f>SUM(H42:H52)</f>
        <v>5160920</v>
      </c>
      <c r="I53" s="17"/>
    </row>
    <row r="54" spans="1:9" s="11" customFormat="1" ht="13.9" customHeight="1" x14ac:dyDescent="0.15">
      <c r="A54" s="154" t="s">
        <v>66</v>
      </c>
      <c r="B54" s="62" t="s">
        <v>66</v>
      </c>
      <c r="C54" s="101"/>
      <c r="D54" s="14"/>
      <c r="E54" s="114">
        <v>100000</v>
      </c>
      <c r="F54" s="35"/>
      <c r="G54" s="35"/>
      <c r="H54" s="37">
        <v>100000</v>
      </c>
      <c r="I54" s="17" t="s">
        <v>67</v>
      </c>
    </row>
    <row r="55" spans="1:9" s="11" customFormat="1" ht="13.9" customHeight="1" x14ac:dyDescent="0.15">
      <c r="A55" s="155"/>
      <c r="B55" s="62" t="s">
        <v>68</v>
      </c>
      <c r="C55" s="98"/>
      <c r="D55" s="25"/>
      <c r="E55" s="115">
        <v>234576</v>
      </c>
      <c r="F55" s="57"/>
      <c r="G55" s="57"/>
      <c r="H55" s="56">
        <v>234576</v>
      </c>
      <c r="I55" s="17" t="s">
        <v>69</v>
      </c>
    </row>
    <row r="56" spans="1:9" s="11" customFormat="1" ht="13.9" customHeight="1" x14ac:dyDescent="0.15">
      <c r="A56" s="155"/>
      <c r="B56" s="62" t="s">
        <v>70</v>
      </c>
      <c r="C56" s="98"/>
      <c r="D56" s="25"/>
      <c r="E56" s="115">
        <v>280000</v>
      </c>
      <c r="F56" s="41"/>
      <c r="G56" s="57"/>
      <c r="H56" s="56">
        <v>280000</v>
      </c>
      <c r="I56" s="17" t="s">
        <v>118</v>
      </c>
    </row>
    <row r="57" spans="1:9" s="11" customFormat="1" ht="16.899999999999999" customHeight="1" x14ac:dyDescent="0.15">
      <c r="A57" s="156"/>
      <c r="B57" s="58" t="s">
        <v>71</v>
      </c>
      <c r="C57" s="113"/>
      <c r="D57" s="39"/>
      <c r="E57" s="103">
        <f>SUM(E54:E56)</f>
        <v>614576</v>
      </c>
      <c r="F57" s="44"/>
      <c r="G57" s="39"/>
      <c r="H57" s="61">
        <f>SUM(H54:H56)</f>
        <v>614576</v>
      </c>
      <c r="I57" s="17"/>
    </row>
    <row r="58" spans="1:9" s="11" customFormat="1" ht="13.9" customHeight="1" x14ac:dyDescent="0.15">
      <c r="A58" s="162" t="s">
        <v>72</v>
      </c>
      <c r="B58" s="65" t="s">
        <v>73</v>
      </c>
      <c r="C58" s="113"/>
      <c r="D58" s="39"/>
      <c r="E58" s="103">
        <v>216000</v>
      </c>
      <c r="F58" s="35"/>
      <c r="G58" s="57"/>
      <c r="H58" s="19">
        <v>220000</v>
      </c>
      <c r="I58" s="17"/>
    </row>
    <row r="59" spans="1:9" s="11" customFormat="1" ht="16.899999999999999" customHeight="1" x14ac:dyDescent="0.15">
      <c r="A59" s="163"/>
      <c r="B59" s="58" t="s">
        <v>74</v>
      </c>
      <c r="C59" s="113"/>
      <c r="D59" s="39"/>
      <c r="E59" s="103">
        <f>SUM(E58)</f>
        <v>216000</v>
      </c>
      <c r="F59" s="38"/>
      <c r="G59" s="38"/>
      <c r="H59" s="61">
        <f>SUM(H58)</f>
        <v>220000</v>
      </c>
      <c r="I59" s="17" t="s">
        <v>119</v>
      </c>
    </row>
    <row r="60" spans="1:9" s="11" customFormat="1" ht="13.9" customHeight="1" x14ac:dyDescent="0.15">
      <c r="A60" s="162" t="s">
        <v>75</v>
      </c>
      <c r="B60" s="66" t="s">
        <v>76</v>
      </c>
      <c r="C60" s="113"/>
      <c r="D60" s="39"/>
      <c r="E60" s="103">
        <v>100000</v>
      </c>
      <c r="F60" s="57"/>
      <c r="G60" s="39"/>
      <c r="H60" s="19">
        <v>100000</v>
      </c>
      <c r="I60" s="17" t="s">
        <v>77</v>
      </c>
    </row>
    <row r="61" spans="1:9" s="11" customFormat="1" ht="16.899999999999999" customHeight="1" x14ac:dyDescent="0.15">
      <c r="A61" s="163"/>
      <c r="B61" s="58" t="s">
        <v>78</v>
      </c>
      <c r="C61" s="116"/>
      <c r="D61" s="33"/>
      <c r="E61" s="117">
        <f>SUM(E60)</f>
        <v>100000</v>
      </c>
      <c r="F61" s="38"/>
      <c r="G61" s="41"/>
      <c r="H61" s="61">
        <f>SUM(H60)</f>
        <v>100000</v>
      </c>
      <c r="I61" s="17"/>
    </row>
    <row r="62" spans="1:9" s="11" customFormat="1" ht="13.9" customHeight="1" x14ac:dyDescent="0.15">
      <c r="A62" s="154" t="s">
        <v>79</v>
      </c>
      <c r="B62" s="62" t="s">
        <v>80</v>
      </c>
      <c r="C62" s="98"/>
      <c r="D62" s="25"/>
      <c r="E62" s="99">
        <v>494680</v>
      </c>
      <c r="F62" s="57"/>
      <c r="G62" s="57"/>
      <c r="H62" s="19">
        <v>494680</v>
      </c>
      <c r="I62" s="17" t="s">
        <v>81</v>
      </c>
    </row>
    <row r="63" spans="1:9" s="11" customFormat="1" ht="13.9" customHeight="1" x14ac:dyDescent="0.15">
      <c r="A63" s="155"/>
      <c r="B63" s="62" t="s">
        <v>82</v>
      </c>
      <c r="C63" s="98"/>
      <c r="D63" s="25"/>
      <c r="E63" s="99">
        <v>470000</v>
      </c>
      <c r="F63" s="57"/>
      <c r="G63" s="57"/>
      <c r="H63" s="19">
        <v>470000</v>
      </c>
      <c r="I63" s="17" t="s">
        <v>112</v>
      </c>
    </row>
    <row r="64" spans="1:9" s="11" customFormat="1" ht="16.899999999999999" customHeight="1" x14ac:dyDescent="0.15">
      <c r="A64" s="156"/>
      <c r="B64" s="58" t="s">
        <v>83</v>
      </c>
      <c r="C64" s="113"/>
      <c r="D64" s="39"/>
      <c r="E64" s="103">
        <f>SUM(E62:E63)</f>
        <v>964680</v>
      </c>
      <c r="F64" s="38"/>
      <c r="G64" s="38"/>
      <c r="H64" s="61">
        <f>SUM(H62:H63)</f>
        <v>964680</v>
      </c>
      <c r="I64" s="17"/>
    </row>
    <row r="65" spans="1:9" s="11" customFormat="1" ht="13.9" customHeight="1" x14ac:dyDescent="0.15">
      <c r="A65" s="154" t="s">
        <v>84</v>
      </c>
      <c r="B65" s="62" t="s">
        <v>84</v>
      </c>
      <c r="C65" s="96"/>
      <c r="D65" s="14"/>
      <c r="E65" s="99">
        <v>250000</v>
      </c>
      <c r="F65" s="57"/>
      <c r="G65" s="57"/>
      <c r="H65" s="19">
        <v>250000</v>
      </c>
      <c r="I65" s="17" t="s">
        <v>85</v>
      </c>
    </row>
    <row r="66" spans="1:9" s="11" customFormat="1" ht="13.9" customHeight="1" x14ac:dyDescent="0.15">
      <c r="A66" s="155"/>
      <c r="B66" s="62" t="s">
        <v>86</v>
      </c>
      <c r="C66" s="100"/>
      <c r="D66" s="25"/>
      <c r="E66" s="99">
        <v>120000</v>
      </c>
      <c r="F66" s="57"/>
      <c r="G66" s="57"/>
      <c r="H66" s="19">
        <v>120000</v>
      </c>
      <c r="I66" s="17" t="s">
        <v>135</v>
      </c>
    </row>
    <row r="67" spans="1:9" s="11" customFormat="1" ht="13.9" customHeight="1" x14ac:dyDescent="0.15">
      <c r="A67" s="155"/>
      <c r="B67" s="62" t="s">
        <v>87</v>
      </c>
      <c r="C67" s="100"/>
      <c r="D67" s="25"/>
      <c r="E67" s="99">
        <v>250000</v>
      </c>
      <c r="F67" s="57"/>
      <c r="G67" s="57"/>
      <c r="H67" s="19">
        <v>250000</v>
      </c>
      <c r="I67" s="17" t="s">
        <v>120</v>
      </c>
    </row>
    <row r="68" spans="1:9" s="11" customFormat="1" ht="13.9" customHeight="1" x14ac:dyDescent="0.15">
      <c r="A68" s="155"/>
      <c r="B68" s="62" t="s">
        <v>88</v>
      </c>
      <c r="C68" s="98"/>
      <c r="D68" s="25"/>
      <c r="E68" s="99">
        <v>40000</v>
      </c>
      <c r="F68" s="57"/>
      <c r="G68" s="57"/>
      <c r="H68" s="19">
        <v>40000</v>
      </c>
      <c r="I68" s="28" t="s">
        <v>89</v>
      </c>
    </row>
    <row r="69" spans="1:9" s="11" customFormat="1" ht="13.9" customHeight="1" x14ac:dyDescent="0.15">
      <c r="A69" s="155"/>
      <c r="B69" s="62" t="s">
        <v>90</v>
      </c>
      <c r="C69" s="98"/>
      <c r="D69" s="25"/>
      <c r="E69" s="99">
        <v>8000</v>
      </c>
      <c r="F69" s="57"/>
      <c r="G69" s="57"/>
      <c r="H69" s="79">
        <v>8000</v>
      </c>
      <c r="I69" s="17" t="s">
        <v>121</v>
      </c>
    </row>
    <row r="70" spans="1:9" s="11" customFormat="1" ht="16.899999999999999" customHeight="1" x14ac:dyDescent="0.15">
      <c r="A70" s="156"/>
      <c r="B70" s="58" t="s">
        <v>91</v>
      </c>
      <c r="C70" s="113"/>
      <c r="D70" s="39"/>
      <c r="E70" s="103">
        <f>SUM(E65:E69)</f>
        <v>668000</v>
      </c>
      <c r="F70" s="38"/>
      <c r="G70" s="38"/>
      <c r="H70" s="61">
        <f>SUM(H65:H69)</f>
        <v>668000</v>
      </c>
      <c r="I70" s="17"/>
    </row>
    <row r="71" spans="1:9" s="11" customFormat="1" ht="13.9" customHeight="1" x14ac:dyDescent="0.15">
      <c r="A71" s="164" t="s">
        <v>92</v>
      </c>
      <c r="B71" s="48" t="s">
        <v>93</v>
      </c>
      <c r="C71" s="98"/>
      <c r="D71" s="25"/>
      <c r="E71" s="99">
        <v>0</v>
      </c>
      <c r="F71" s="35"/>
      <c r="G71" s="57"/>
      <c r="H71" s="79">
        <v>0</v>
      </c>
      <c r="I71" s="17" t="s">
        <v>93</v>
      </c>
    </row>
    <row r="72" spans="1:9" s="11" customFormat="1" ht="13.9" customHeight="1" x14ac:dyDescent="0.15">
      <c r="A72" s="165"/>
      <c r="B72" s="107" t="s">
        <v>127</v>
      </c>
      <c r="C72" s="98"/>
      <c r="D72" s="25"/>
      <c r="E72" s="99">
        <v>4155000</v>
      </c>
      <c r="F72" s="57"/>
      <c r="G72" s="57"/>
      <c r="H72" s="79">
        <v>300000</v>
      </c>
      <c r="I72" s="20" t="s">
        <v>141</v>
      </c>
    </row>
    <row r="73" spans="1:9" s="11" customFormat="1" ht="13.9" customHeight="1" x14ac:dyDescent="0.15">
      <c r="A73" s="165"/>
      <c r="B73" s="48" t="s">
        <v>113</v>
      </c>
      <c r="C73" s="98"/>
      <c r="D73" s="25"/>
      <c r="E73" s="99">
        <v>296000</v>
      </c>
      <c r="F73" s="57"/>
      <c r="G73" s="57"/>
      <c r="H73" s="79">
        <v>400000</v>
      </c>
      <c r="I73" s="17" t="s">
        <v>142</v>
      </c>
    </row>
    <row r="74" spans="1:9" s="11" customFormat="1" ht="13.9" customHeight="1" x14ac:dyDescent="0.15">
      <c r="A74" s="165"/>
      <c r="B74" s="48" t="s">
        <v>94</v>
      </c>
      <c r="C74" s="98"/>
      <c r="D74" s="25"/>
      <c r="E74" s="99">
        <v>1946000</v>
      </c>
      <c r="F74" s="57"/>
      <c r="G74" s="57"/>
      <c r="H74" s="79">
        <v>450000</v>
      </c>
      <c r="I74" s="17" t="s">
        <v>143</v>
      </c>
    </row>
    <row r="75" spans="1:9" s="11" customFormat="1" ht="13.9" customHeight="1" x14ac:dyDescent="0.15">
      <c r="A75" s="165"/>
      <c r="B75" s="48" t="s">
        <v>114</v>
      </c>
      <c r="C75" s="98"/>
      <c r="D75" s="25"/>
      <c r="E75" s="99">
        <v>280000</v>
      </c>
      <c r="F75" s="57"/>
      <c r="G75" s="57"/>
      <c r="H75" s="79">
        <v>100000</v>
      </c>
      <c r="I75" s="17" t="s">
        <v>147</v>
      </c>
    </row>
    <row r="76" spans="1:9" s="11" customFormat="1" ht="13.9" customHeight="1" x14ac:dyDescent="0.15">
      <c r="A76" s="165"/>
      <c r="B76" s="48" t="s">
        <v>115</v>
      </c>
      <c r="C76" s="98"/>
      <c r="D76" s="25"/>
      <c r="E76" s="99">
        <v>152000</v>
      </c>
      <c r="F76" s="57"/>
      <c r="G76" s="57"/>
      <c r="H76" s="79">
        <v>100000</v>
      </c>
      <c r="I76" s="17" t="s">
        <v>144</v>
      </c>
    </row>
    <row r="77" spans="1:9" s="11" customFormat="1" ht="13.9" customHeight="1" x14ac:dyDescent="0.15">
      <c r="A77" s="165"/>
      <c r="B77" s="107" t="s">
        <v>137</v>
      </c>
      <c r="C77" s="98"/>
      <c r="D77" s="25"/>
      <c r="E77" s="99">
        <v>510500</v>
      </c>
      <c r="F77" s="57"/>
      <c r="G77" s="57"/>
      <c r="H77" s="19"/>
      <c r="I77" s="20"/>
    </row>
    <row r="78" spans="1:9" s="11" customFormat="1" ht="13.9" customHeight="1" x14ac:dyDescent="0.15">
      <c r="A78" s="165"/>
      <c r="B78" s="107" t="s">
        <v>116</v>
      </c>
      <c r="C78" s="98"/>
      <c r="D78" s="25"/>
      <c r="E78" s="99">
        <v>335000</v>
      </c>
      <c r="F78" s="57"/>
      <c r="G78" s="57"/>
      <c r="H78" s="19"/>
      <c r="I78" s="20"/>
    </row>
    <row r="79" spans="1:9" s="11" customFormat="1" ht="16.899999999999999" customHeight="1" x14ac:dyDescent="0.15">
      <c r="A79" s="156"/>
      <c r="B79" s="58" t="s">
        <v>95</v>
      </c>
      <c r="C79" s="113"/>
      <c r="D79" s="39"/>
      <c r="E79" s="103">
        <f>SUM(E71:E78)</f>
        <v>7674500</v>
      </c>
      <c r="F79" s="38"/>
      <c r="G79" s="38"/>
      <c r="H79" s="61">
        <f>SUM(H71:H78)</f>
        <v>1350000</v>
      </c>
      <c r="I79" s="17"/>
    </row>
    <row r="80" spans="1:9" s="11" customFormat="1" ht="13.9" customHeight="1" x14ac:dyDescent="0.15">
      <c r="A80" s="154" t="s">
        <v>96</v>
      </c>
      <c r="B80" s="62" t="s">
        <v>97</v>
      </c>
      <c r="C80" s="98">
        <v>3000</v>
      </c>
      <c r="D80" s="25">
        <v>94</v>
      </c>
      <c r="E80" s="115">
        <v>282000</v>
      </c>
      <c r="F80" s="57">
        <v>3000</v>
      </c>
      <c r="G80" s="57">
        <v>80</v>
      </c>
      <c r="H80" s="19">
        <f>F80*G80</f>
        <v>240000</v>
      </c>
      <c r="I80" s="17"/>
    </row>
    <row r="81" spans="1:9" s="11" customFormat="1" ht="13.9" customHeight="1" x14ac:dyDescent="0.15">
      <c r="A81" s="155"/>
      <c r="B81" s="62" t="s">
        <v>98</v>
      </c>
      <c r="C81" s="98"/>
      <c r="D81" s="25"/>
      <c r="E81" s="115">
        <v>0</v>
      </c>
      <c r="F81" s="57"/>
      <c r="G81" s="57"/>
      <c r="H81" s="19">
        <v>0</v>
      </c>
      <c r="I81" s="17"/>
    </row>
    <row r="82" spans="1:9" s="11" customFormat="1" ht="13.9" customHeight="1" x14ac:dyDescent="0.15">
      <c r="A82" s="155"/>
      <c r="B82" s="62" t="s">
        <v>99</v>
      </c>
      <c r="C82" s="98"/>
      <c r="D82" s="25"/>
      <c r="E82" s="115">
        <v>0</v>
      </c>
      <c r="F82" s="57"/>
      <c r="G82" s="57"/>
      <c r="H82" s="19">
        <v>0</v>
      </c>
      <c r="I82" s="17" t="s">
        <v>100</v>
      </c>
    </row>
    <row r="83" spans="1:9" s="11" customFormat="1" ht="13.9" customHeight="1" x14ac:dyDescent="0.15">
      <c r="A83" s="155"/>
      <c r="B83" s="62" t="s">
        <v>101</v>
      </c>
      <c r="C83" s="98"/>
      <c r="D83" s="25"/>
      <c r="E83" s="115">
        <v>8000</v>
      </c>
      <c r="F83" s="57"/>
      <c r="G83" s="57"/>
      <c r="H83" s="19">
        <v>8000</v>
      </c>
      <c r="I83" s="17" t="s">
        <v>102</v>
      </c>
    </row>
    <row r="84" spans="1:9" s="11" customFormat="1" ht="16.899999999999999" customHeight="1" x14ac:dyDescent="0.15">
      <c r="A84" s="156"/>
      <c r="B84" s="58" t="s">
        <v>103</v>
      </c>
      <c r="C84" s="113"/>
      <c r="D84" s="59"/>
      <c r="E84" s="118">
        <f>SUM(E80:E83)</f>
        <v>290000</v>
      </c>
      <c r="F84" s="38"/>
      <c r="G84" s="38"/>
      <c r="H84" s="61">
        <f>SUM(H80:H83)</f>
        <v>248000</v>
      </c>
      <c r="I84" s="17"/>
    </row>
    <row r="85" spans="1:9" s="11" customFormat="1" ht="16.899999999999999" customHeight="1" x14ac:dyDescent="0.15">
      <c r="A85" s="154" t="s">
        <v>132</v>
      </c>
      <c r="B85" s="108" t="s">
        <v>133</v>
      </c>
      <c r="C85" s="96"/>
      <c r="D85" s="13"/>
      <c r="E85" s="97">
        <v>2110000</v>
      </c>
      <c r="F85" s="35"/>
      <c r="G85" s="35"/>
      <c r="H85" s="15"/>
      <c r="I85" s="17"/>
    </row>
    <row r="86" spans="1:9" s="11" customFormat="1" ht="16.899999999999999" customHeight="1" x14ac:dyDescent="0.15">
      <c r="A86" s="156"/>
      <c r="B86" s="58" t="s">
        <v>134</v>
      </c>
      <c r="C86" s="96"/>
      <c r="D86" s="13"/>
      <c r="E86" s="97">
        <f>E85</f>
        <v>2110000</v>
      </c>
      <c r="F86" s="35"/>
      <c r="G86" s="35"/>
      <c r="H86" s="15">
        <f>H85</f>
        <v>0</v>
      </c>
      <c r="I86" s="17"/>
    </row>
    <row r="87" spans="1:9" s="11" customFormat="1" ht="13.9" customHeight="1" x14ac:dyDescent="0.15">
      <c r="A87" s="69" t="s">
        <v>104</v>
      </c>
      <c r="B87" s="65" t="s">
        <v>105</v>
      </c>
      <c r="C87" s="96"/>
      <c r="D87" s="13"/>
      <c r="E87" s="97">
        <v>0</v>
      </c>
      <c r="F87" s="35"/>
      <c r="G87" s="35"/>
      <c r="H87" s="15">
        <v>0</v>
      </c>
      <c r="I87" s="17"/>
    </row>
    <row r="88" spans="1:9" s="11" customFormat="1" ht="13.9" customHeight="1" x14ac:dyDescent="0.15">
      <c r="A88" s="70"/>
      <c r="B88" s="91" t="s">
        <v>106</v>
      </c>
      <c r="C88" s="112"/>
      <c r="D88" s="33"/>
      <c r="E88" s="119">
        <v>1030000</v>
      </c>
      <c r="F88" s="41"/>
      <c r="G88" s="41"/>
      <c r="H88" s="80">
        <v>0</v>
      </c>
      <c r="I88" s="78" t="s">
        <v>146</v>
      </c>
    </row>
    <row r="89" spans="1:9" s="11" customFormat="1" ht="16.899999999999999" customHeight="1" x14ac:dyDescent="0.15">
      <c r="A89" s="161" t="s">
        <v>107</v>
      </c>
      <c r="B89" s="160"/>
      <c r="C89" s="113"/>
      <c r="D89" s="59"/>
      <c r="E89" s="118">
        <f>SUM(E41,E53,E57,E59,E61,E64,E70,E79,E84,E87,E88,E86)</f>
        <v>21673281</v>
      </c>
      <c r="F89" s="38"/>
      <c r="G89" s="38"/>
      <c r="H89" s="61">
        <f>SUM(H41,H53,H57,H59,H61,H64,H70,H79,H84,H87,H88,H86)</f>
        <v>11201136</v>
      </c>
      <c r="I89" s="17"/>
    </row>
    <row r="90" spans="1:9" s="11" customFormat="1" ht="16.899999999999999" customHeight="1" x14ac:dyDescent="0.15">
      <c r="A90" s="161" t="s">
        <v>108</v>
      </c>
      <c r="B90" s="160"/>
      <c r="C90" s="113"/>
      <c r="D90" s="59"/>
      <c r="E90" s="118">
        <f>E24-E89</f>
        <v>-1246281</v>
      </c>
      <c r="F90" s="38"/>
      <c r="G90" s="38"/>
      <c r="H90" s="61">
        <f>H24-H89</f>
        <v>-165136</v>
      </c>
      <c r="I90" s="71"/>
    </row>
    <row r="91" spans="1:9" s="11" customFormat="1" ht="16.899999999999999" customHeight="1" thickBot="1" x14ac:dyDescent="0.2">
      <c r="A91" s="161" t="s">
        <v>109</v>
      </c>
      <c r="B91" s="160"/>
      <c r="C91" s="120"/>
      <c r="D91" s="121"/>
      <c r="E91" s="122">
        <f>E26-E89</f>
        <v>1324611</v>
      </c>
      <c r="F91" s="38"/>
      <c r="G91" s="38"/>
      <c r="H91" s="61">
        <f>H26-H89</f>
        <v>2641581</v>
      </c>
      <c r="I91" s="72"/>
    </row>
  </sheetData>
  <mergeCells count="18">
    <mergeCell ref="A71:A79"/>
    <mergeCell ref="A80:A84"/>
    <mergeCell ref="A89:B89"/>
    <mergeCell ref="A90:B90"/>
    <mergeCell ref="A91:B91"/>
    <mergeCell ref="A85:A86"/>
    <mergeCell ref="A65:A70"/>
    <mergeCell ref="A1:I1"/>
    <mergeCell ref="A2:I2"/>
    <mergeCell ref="A24:B24"/>
    <mergeCell ref="A25:B25"/>
    <mergeCell ref="A26:B26"/>
    <mergeCell ref="A30:A41"/>
    <mergeCell ref="A42:A53"/>
    <mergeCell ref="A54:A57"/>
    <mergeCell ref="A58:A59"/>
    <mergeCell ref="A60:A61"/>
    <mergeCell ref="A62:A64"/>
  </mergeCells>
  <phoneticPr fontId="4"/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6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92"/>
  <sheetViews>
    <sheetView topLeftCell="A7" zoomScale="86" zoomScaleNormal="86" workbookViewId="0">
      <selection activeCell="L29" sqref="K29:L29"/>
    </sheetView>
  </sheetViews>
  <sheetFormatPr defaultColWidth="9" defaultRowHeight="13.5" x14ac:dyDescent="0.15"/>
  <cols>
    <col min="1" max="1" width="12.875" style="1" customWidth="1"/>
    <col min="2" max="2" width="29.125" style="1" customWidth="1"/>
    <col min="3" max="3" width="8.75" style="1" customWidth="1"/>
    <col min="4" max="4" width="5.75" style="1" customWidth="1"/>
    <col min="5" max="5" width="12.75" style="1" customWidth="1"/>
    <col min="6" max="6" width="8.75" style="1" customWidth="1"/>
    <col min="7" max="7" width="5.75" style="1" customWidth="1"/>
    <col min="8" max="8" width="12.75" style="1" customWidth="1"/>
    <col min="9" max="9" width="42.75" style="1" customWidth="1"/>
    <col min="10" max="16384" width="9" style="1"/>
  </cols>
  <sheetData>
    <row r="1" spans="1:9" ht="17.25" x14ac:dyDescent="0.2">
      <c r="A1" s="157" t="s">
        <v>151</v>
      </c>
      <c r="B1" s="157"/>
      <c r="C1" s="157"/>
      <c r="D1" s="157"/>
      <c r="E1" s="157"/>
      <c r="F1" s="157"/>
      <c r="G1" s="157"/>
      <c r="H1" s="157"/>
      <c r="I1" s="157"/>
    </row>
    <row r="2" spans="1:9" ht="9.6" customHeight="1" x14ac:dyDescent="0.15">
      <c r="A2" s="158"/>
      <c r="B2" s="158"/>
      <c r="C2" s="158"/>
      <c r="D2" s="158"/>
      <c r="E2" s="158"/>
      <c r="F2" s="158"/>
      <c r="G2" s="158"/>
      <c r="H2" s="158"/>
      <c r="I2" s="158"/>
    </row>
    <row r="3" spans="1:9" ht="13.9" customHeight="1" x14ac:dyDescent="0.2">
      <c r="A3" s="2" t="s">
        <v>0</v>
      </c>
      <c r="B3" s="3"/>
      <c r="C3" s="2"/>
      <c r="D3" s="2"/>
      <c r="E3" s="2"/>
      <c r="F3" s="2"/>
      <c r="G3" s="2"/>
      <c r="H3" s="2"/>
      <c r="I3" s="4" t="s">
        <v>1</v>
      </c>
    </row>
    <row r="4" spans="1:9" s="11" customFormat="1" ht="30" customHeight="1" x14ac:dyDescent="0.15">
      <c r="A4" s="5" t="s">
        <v>2</v>
      </c>
      <c r="B4" s="6" t="s">
        <v>3</v>
      </c>
      <c r="C4" s="7" t="s">
        <v>4</v>
      </c>
      <c r="D4" s="8" t="s">
        <v>5</v>
      </c>
      <c r="E4" s="81" t="s">
        <v>152</v>
      </c>
      <c r="F4" s="7" t="s">
        <v>4</v>
      </c>
      <c r="G4" s="8" t="s">
        <v>5</v>
      </c>
      <c r="H4" s="81" t="s">
        <v>153</v>
      </c>
      <c r="I4" s="10" t="s">
        <v>6</v>
      </c>
    </row>
    <row r="5" spans="1:9" s="11" customFormat="1" ht="13.9" customHeight="1" x14ac:dyDescent="0.15">
      <c r="A5" s="12" t="s">
        <v>7</v>
      </c>
      <c r="B5" s="83" t="s">
        <v>8</v>
      </c>
      <c r="C5" s="13">
        <v>40000</v>
      </c>
      <c r="D5" s="16">
        <v>21</v>
      </c>
      <c r="E5" s="15">
        <v>840000</v>
      </c>
      <c r="F5" s="13">
        <v>40000</v>
      </c>
      <c r="G5" s="16">
        <v>20</v>
      </c>
      <c r="H5" s="15">
        <f>F5*G5</f>
        <v>800000</v>
      </c>
      <c r="I5" s="17" t="s">
        <v>145</v>
      </c>
    </row>
    <row r="6" spans="1:9" s="11" customFormat="1" ht="13.9" customHeight="1" x14ac:dyDescent="0.15">
      <c r="A6" s="18" t="s">
        <v>9</v>
      </c>
      <c r="B6" s="84" t="s">
        <v>10</v>
      </c>
      <c r="C6" s="16">
        <v>120000</v>
      </c>
      <c r="D6" s="16"/>
      <c r="E6" s="19">
        <v>10610000</v>
      </c>
      <c r="F6" s="16">
        <v>120000</v>
      </c>
      <c r="G6" s="16">
        <v>90</v>
      </c>
      <c r="H6" s="19">
        <f>F6*G6</f>
        <v>10800000</v>
      </c>
      <c r="I6" s="17"/>
    </row>
    <row r="7" spans="1:9" s="11" customFormat="1" ht="13.9" customHeight="1" x14ac:dyDescent="0.15">
      <c r="A7" s="18"/>
      <c r="B7" s="84" t="s">
        <v>129</v>
      </c>
      <c r="C7" s="16"/>
      <c r="D7" s="16"/>
      <c r="E7" s="19">
        <v>0</v>
      </c>
      <c r="F7" s="16"/>
      <c r="G7" s="16"/>
      <c r="H7" s="19"/>
      <c r="I7" s="17"/>
    </row>
    <row r="8" spans="1:9" s="11" customFormat="1" ht="13.9" customHeight="1" x14ac:dyDescent="0.15">
      <c r="A8" s="18"/>
      <c r="B8" s="84" t="s">
        <v>11</v>
      </c>
      <c r="C8" s="16"/>
      <c r="D8" s="16"/>
      <c r="E8" s="19">
        <v>0</v>
      </c>
      <c r="F8" s="16"/>
      <c r="G8" s="16"/>
      <c r="H8" s="19"/>
      <c r="I8" s="20"/>
    </row>
    <row r="9" spans="1:9" s="11" customFormat="1" ht="13.9" customHeight="1" x14ac:dyDescent="0.15">
      <c r="A9" s="18"/>
      <c r="B9" s="84" t="s">
        <v>12</v>
      </c>
      <c r="C9" s="16"/>
      <c r="D9" s="16"/>
      <c r="E9" s="19">
        <v>0</v>
      </c>
      <c r="F9" s="16"/>
      <c r="G9" s="16"/>
      <c r="H9" s="19"/>
      <c r="I9" s="20"/>
    </row>
    <row r="10" spans="1:9" s="11" customFormat="1" ht="13.9" customHeight="1" x14ac:dyDescent="0.15">
      <c r="A10" s="18" t="s">
        <v>13</v>
      </c>
      <c r="B10" s="84" t="s">
        <v>128</v>
      </c>
      <c r="C10" s="16"/>
      <c r="D10" s="16"/>
      <c r="E10" s="19">
        <v>0</v>
      </c>
      <c r="F10" s="16"/>
      <c r="G10" s="16"/>
      <c r="H10" s="19"/>
      <c r="I10" s="21"/>
    </row>
    <row r="11" spans="1:9" s="11" customFormat="1" ht="13.9" customHeight="1" x14ac:dyDescent="0.15">
      <c r="A11" s="18"/>
      <c r="B11" s="84" t="s">
        <v>110</v>
      </c>
      <c r="C11" s="16"/>
      <c r="D11" s="16"/>
      <c r="E11" s="19">
        <v>0</v>
      </c>
      <c r="F11" s="16"/>
      <c r="G11" s="16"/>
      <c r="H11" s="19"/>
      <c r="I11" s="21"/>
    </row>
    <row r="12" spans="1:9" s="11" customFormat="1" ht="13.9" customHeight="1" x14ac:dyDescent="0.15">
      <c r="A12" s="18"/>
      <c r="B12" s="84" t="s">
        <v>111</v>
      </c>
      <c r="C12" s="16"/>
      <c r="D12" s="16"/>
      <c r="E12" s="19">
        <v>0</v>
      </c>
      <c r="F12" s="16"/>
      <c r="G12" s="16"/>
      <c r="H12" s="19"/>
      <c r="I12" s="78" t="s">
        <v>14</v>
      </c>
    </row>
    <row r="13" spans="1:9" s="11" customFormat="1" ht="13.9" customHeight="1" x14ac:dyDescent="0.15">
      <c r="A13" s="22" t="s">
        <v>15</v>
      </c>
      <c r="B13" s="85" t="s">
        <v>16</v>
      </c>
      <c r="C13" s="16"/>
      <c r="D13" s="16"/>
      <c r="E13" s="19">
        <v>0</v>
      </c>
      <c r="F13" s="16"/>
      <c r="G13" s="16"/>
      <c r="H13" s="77"/>
      <c r="I13" s="78" t="s">
        <v>17</v>
      </c>
    </row>
    <row r="14" spans="1:9" s="11" customFormat="1" ht="13.9" customHeight="1" x14ac:dyDescent="0.15">
      <c r="A14" s="18"/>
      <c r="B14" s="85" t="s">
        <v>154</v>
      </c>
      <c r="C14" s="16"/>
      <c r="D14" s="16"/>
      <c r="E14" s="19">
        <v>205000</v>
      </c>
      <c r="F14" s="16"/>
      <c r="G14" s="16"/>
      <c r="H14" s="19">
        <v>0</v>
      </c>
      <c r="I14" s="17"/>
    </row>
    <row r="15" spans="1:9" s="11" customFormat="1" ht="13.9" customHeight="1" x14ac:dyDescent="0.15">
      <c r="A15" s="18"/>
      <c r="B15" s="85" t="s">
        <v>131</v>
      </c>
      <c r="C15" s="16"/>
      <c r="D15" s="16"/>
      <c r="E15" s="19">
        <v>0</v>
      </c>
      <c r="F15" s="16"/>
      <c r="G15" s="16"/>
      <c r="H15" s="19"/>
      <c r="I15" s="17"/>
    </row>
    <row r="16" spans="1:9" s="11" customFormat="1" ht="13.9" customHeight="1" x14ac:dyDescent="0.15">
      <c r="A16" s="18" t="s">
        <v>18</v>
      </c>
      <c r="B16" s="86" t="s">
        <v>19</v>
      </c>
      <c r="C16" s="16"/>
      <c r="D16" s="16"/>
      <c r="E16" s="19">
        <v>1000</v>
      </c>
      <c r="F16" s="16"/>
      <c r="G16" s="16"/>
      <c r="H16" s="19">
        <v>1000</v>
      </c>
      <c r="I16" s="17" t="s">
        <v>20</v>
      </c>
    </row>
    <row r="17" spans="1:9" s="11" customFormat="1" ht="13.9" customHeight="1" x14ac:dyDescent="0.15">
      <c r="A17" s="18"/>
      <c r="B17" s="85" t="s">
        <v>21</v>
      </c>
      <c r="C17" s="16"/>
      <c r="D17" s="16"/>
      <c r="E17" s="19">
        <v>140000</v>
      </c>
      <c r="F17" s="16"/>
      <c r="G17" s="16"/>
      <c r="H17" s="19">
        <v>140000</v>
      </c>
      <c r="I17" s="27"/>
    </row>
    <row r="18" spans="1:9" s="11" customFormat="1" ht="13.9" customHeight="1" x14ac:dyDescent="0.15">
      <c r="A18" s="18"/>
      <c r="B18" s="85" t="s">
        <v>22</v>
      </c>
      <c r="C18" s="16"/>
      <c r="D18" s="16"/>
      <c r="E18" s="19">
        <v>200000</v>
      </c>
      <c r="F18" s="16"/>
      <c r="G18" s="16"/>
      <c r="H18" s="19">
        <v>200000</v>
      </c>
      <c r="I18" s="17"/>
    </row>
    <row r="19" spans="1:9" s="11" customFormat="1" ht="13.9" customHeight="1" x14ac:dyDescent="0.15">
      <c r="A19" s="18"/>
      <c r="B19" s="85" t="s">
        <v>23</v>
      </c>
      <c r="C19" s="16">
        <v>10000</v>
      </c>
      <c r="D19" s="16">
        <v>15</v>
      </c>
      <c r="E19" s="19">
        <v>150000</v>
      </c>
      <c r="F19" s="16">
        <v>10000</v>
      </c>
      <c r="G19" s="16">
        <v>12</v>
      </c>
      <c r="H19" s="19">
        <f>F19*G19</f>
        <v>120000</v>
      </c>
      <c r="I19" s="20"/>
    </row>
    <row r="20" spans="1:9" s="11" customFormat="1" ht="13.9" customHeight="1" x14ac:dyDescent="0.15">
      <c r="A20" s="18"/>
      <c r="B20" s="85" t="s">
        <v>25</v>
      </c>
      <c r="C20" s="16"/>
      <c r="D20" s="16"/>
      <c r="E20" s="19">
        <v>120000</v>
      </c>
      <c r="F20" s="16"/>
      <c r="G20" s="16"/>
      <c r="H20" s="19">
        <v>120000</v>
      </c>
      <c r="I20" s="17"/>
    </row>
    <row r="21" spans="1:9" s="11" customFormat="1" ht="13.9" customHeight="1" x14ac:dyDescent="0.15">
      <c r="A21" s="18"/>
      <c r="B21" s="85" t="s">
        <v>155</v>
      </c>
      <c r="C21" s="16"/>
      <c r="D21" s="16"/>
      <c r="E21" s="19">
        <v>100000</v>
      </c>
      <c r="F21" s="16"/>
      <c r="G21" s="16"/>
      <c r="H21" s="19">
        <v>0</v>
      </c>
      <c r="I21" s="17"/>
    </row>
    <row r="22" spans="1:9" s="11" customFormat="1" ht="13.9" customHeight="1" x14ac:dyDescent="0.15">
      <c r="A22" s="18"/>
      <c r="B22" s="85" t="s">
        <v>26</v>
      </c>
      <c r="C22" s="16"/>
      <c r="D22" s="16"/>
      <c r="E22" s="19">
        <v>35000</v>
      </c>
      <c r="F22" s="16"/>
      <c r="G22" s="16"/>
      <c r="H22" s="19">
        <v>35000</v>
      </c>
      <c r="I22" s="74" t="s">
        <v>138</v>
      </c>
    </row>
    <row r="23" spans="1:9" s="11" customFormat="1" ht="13.9" customHeight="1" x14ac:dyDescent="0.15">
      <c r="A23" s="29" t="s">
        <v>27</v>
      </c>
      <c r="B23" s="87" t="s">
        <v>28</v>
      </c>
      <c r="C23" s="16"/>
      <c r="D23" s="16"/>
      <c r="E23" s="19">
        <v>0</v>
      </c>
      <c r="F23" s="16"/>
      <c r="G23" s="16"/>
      <c r="H23" s="19"/>
      <c r="I23" s="17"/>
    </row>
    <row r="24" spans="1:9" s="11" customFormat="1" ht="13.9" customHeight="1" x14ac:dyDescent="0.15">
      <c r="A24" s="31"/>
      <c r="B24" s="88" t="s">
        <v>29</v>
      </c>
      <c r="C24" s="57"/>
      <c r="D24" s="24"/>
      <c r="E24" s="19">
        <v>0</v>
      </c>
      <c r="F24" s="34"/>
      <c r="G24" s="24"/>
      <c r="H24" s="19"/>
      <c r="I24" s="17"/>
    </row>
    <row r="25" spans="1:9" s="11" customFormat="1" ht="16.899999999999999" customHeight="1" x14ac:dyDescent="0.15">
      <c r="A25" s="159" t="s">
        <v>30</v>
      </c>
      <c r="B25" s="166"/>
      <c r="C25" s="35"/>
      <c r="D25" s="14"/>
      <c r="E25" s="15">
        <v>12401000</v>
      </c>
      <c r="F25" s="36"/>
      <c r="G25" s="14"/>
      <c r="H25" s="37">
        <f>SUM(H5:H24)</f>
        <v>12216000</v>
      </c>
      <c r="I25" s="17"/>
    </row>
    <row r="26" spans="1:9" s="11" customFormat="1" ht="16.899999999999999" customHeight="1" x14ac:dyDescent="0.15">
      <c r="A26" s="161" t="s">
        <v>31</v>
      </c>
      <c r="B26" s="166"/>
      <c r="C26" s="38"/>
      <c r="D26" s="39"/>
      <c r="E26" s="60">
        <v>2806717</v>
      </c>
      <c r="F26" s="40"/>
      <c r="G26" s="39"/>
      <c r="H26" s="60">
        <v>2806717</v>
      </c>
      <c r="I26" s="82" t="s">
        <v>163</v>
      </c>
    </row>
    <row r="27" spans="1:9" s="11" customFormat="1" ht="16.899999999999999" customHeight="1" x14ac:dyDescent="0.15">
      <c r="A27" s="161" t="s">
        <v>33</v>
      </c>
      <c r="B27" s="166"/>
      <c r="C27" s="41"/>
      <c r="D27" s="33"/>
      <c r="E27" s="42">
        <v>15207717</v>
      </c>
      <c r="F27" s="43"/>
      <c r="G27" s="33"/>
      <c r="H27" s="44">
        <f>SUM(H25:H26)</f>
        <v>15022717</v>
      </c>
      <c r="I27" s="45"/>
    </row>
    <row r="28" spans="1:9" s="11" customFormat="1" x14ac:dyDescent="0.15">
      <c r="A28" s="46"/>
      <c r="B28" s="46"/>
      <c r="C28" s="47"/>
      <c r="D28" s="24"/>
      <c r="E28" s="24"/>
      <c r="F28" s="24"/>
      <c r="G28" s="24"/>
      <c r="H28" s="24"/>
      <c r="I28" s="48"/>
    </row>
    <row r="29" spans="1:9" s="11" customFormat="1" x14ac:dyDescent="0.15">
      <c r="A29" s="49" t="s">
        <v>34</v>
      </c>
      <c r="B29" s="50"/>
      <c r="C29" s="51"/>
      <c r="D29" s="24"/>
      <c r="E29" s="24"/>
      <c r="F29" s="24"/>
      <c r="G29" s="24"/>
      <c r="H29" s="24"/>
      <c r="I29" s="52"/>
    </row>
    <row r="30" spans="1:9" s="11" customFormat="1" ht="30" customHeight="1" x14ac:dyDescent="0.15">
      <c r="A30" s="53" t="str">
        <f>A4</f>
        <v>項　目</v>
      </c>
      <c r="B30" s="53" t="str">
        <f>B4</f>
        <v>勘 定 科 目</v>
      </c>
      <c r="C30" s="54" t="str">
        <f>C4</f>
        <v>単価</v>
      </c>
      <c r="D30" s="54" t="str">
        <f>D4</f>
        <v>人員</v>
      </c>
      <c r="E30" s="9" t="str">
        <f>E4</f>
        <v>2020年　　　　　　　　　　　　　　　　　　補正後予算額</v>
      </c>
      <c r="F30" s="7" t="s">
        <v>4</v>
      </c>
      <c r="G30" s="8" t="s">
        <v>5</v>
      </c>
      <c r="H30" s="9" t="str">
        <f>H4</f>
        <v>2021年　　　　　　　　　　　　　　　　　　　予算額</v>
      </c>
      <c r="I30" s="10" t="s">
        <v>6</v>
      </c>
    </row>
    <row r="31" spans="1:9" s="11" customFormat="1" ht="13.9" customHeight="1" x14ac:dyDescent="0.15">
      <c r="A31" s="154" t="s">
        <v>35</v>
      </c>
      <c r="B31" s="55" t="s">
        <v>36</v>
      </c>
      <c r="C31" s="14">
        <v>1621</v>
      </c>
      <c r="D31" s="35"/>
      <c r="E31" s="19">
        <v>162812</v>
      </c>
      <c r="F31" s="36">
        <v>1612</v>
      </c>
      <c r="G31" s="35">
        <v>90</v>
      </c>
      <c r="H31" s="19">
        <f>F31*G31</f>
        <v>145080</v>
      </c>
      <c r="I31" s="17" t="s">
        <v>156</v>
      </c>
    </row>
    <row r="32" spans="1:9" s="11" customFormat="1" ht="13.9" customHeight="1" x14ac:dyDescent="0.15">
      <c r="A32" s="155"/>
      <c r="B32" s="23" t="s">
        <v>37</v>
      </c>
      <c r="C32" s="57"/>
      <c r="D32" s="57"/>
      <c r="E32" s="19">
        <v>60000</v>
      </c>
      <c r="F32" s="34"/>
      <c r="G32" s="57"/>
      <c r="H32" s="19">
        <v>60000</v>
      </c>
      <c r="I32" s="17" t="s">
        <v>150</v>
      </c>
    </row>
    <row r="33" spans="1:9" s="11" customFormat="1" ht="13.9" customHeight="1" x14ac:dyDescent="0.15">
      <c r="A33" s="155"/>
      <c r="B33" s="26" t="s">
        <v>38</v>
      </c>
      <c r="C33" s="25">
        <v>5000</v>
      </c>
      <c r="D33" s="57"/>
      <c r="E33" s="19">
        <v>505000</v>
      </c>
      <c r="F33" s="25">
        <v>5000</v>
      </c>
      <c r="G33" s="57">
        <v>90</v>
      </c>
      <c r="H33" s="19">
        <f>F33*G33</f>
        <v>450000</v>
      </c>
      <c r="I33" s="17"/>
    </row>
    <row r="34" spans="1:9" s="11" customFormat="1" ht="13.9" customHeight="1" x14ac:dyDescent="0.15">
      <c r="A34" s="155"/>
      <c r="B34" s="26" t="s">
        <v>39</v>
      </c>
      <c r="C34" s="25">
        <v>1825</v>
      </c>
      <c r="D34" s="57"/>
      <c r="E34" s="19">
        <v>184325</v>
      </c>
      <c r="F34" s="25">
        <v>1825</v>
      </c>
      <c r="G34" s="57">
        <v>90</v>
      </c>
      <c r="H34" s="19">
        <f t="shared" ref="H34:H39" si="0">F34*G34</f>
        <v>164250</v>
      </c>
      <c r="I34" s="17"/>
    </row>
    <row r="35" spans="1:9" s="11" customFormat="1" ht="13.9" customHeight="1" x14ac:dyDescent="0.15">
      <c r="A35" s="155"/>
      <c r="B35" s="26" t="s">
        <v>40</v>
      </c>
      <c r="C35" s="25">
        <v>3000</v>
      </c>
      <c r="D35" s="57"/>
      <c r="E35" s="19">
        <v>303000</v>
      </c>
      <c r="F35" s="25">
        <v>3000</v>
      </c>
      <c r="G35" s="57">
        <v>90</v>
      </c>
      <c r="H35" s="19">
        <f t="shared" si="0"/>
        <v>270000</v>
      </c>
      <c r="I35" s="17"/>
    </row>
    <row r="36" spans="1:9" s="11" customFormat="1" ht="13.9" customHeight="1" x14ac:dyDescent="0.15">
      <c r="A36" s="155"/>
      <c r="B36" s="26" t="s">
        <v>41</v>
      </c>
      <c r="C36" s="25">
        <v>4000</v>
      </c>
      <c r="D36" s="57"/>
      <c r="E36" s="19">
        <v>404000</v>
      </c>
      <c r="F36" s="25">
        <v>4000</v>
      </c>
      <c r="G36" s="57">
        <v>90</v>
      </c>
      <c r="H36" s="19">
        <f t="shared" si="0"/>
        <v>360000</v>
      </c>
      <c r="I36" s="20" t="s">
        <v>42</v>
      </c>
    </row>
    <row r="37" spans="1:9" s="11" customFormat="1" ht="13.9" customHeight="1" x14ac:dyDescent="0.15">
      <c r="A37" s="155"/>
      <c r="B37" s="26" t="s">
        <v>43</v>
      </c>
      <c r="C37" s="25"/>
      <c r="D37" s="57"/>
      <c r="E37" s="19">
        <v>0</v>
      </c>
      <c r="F37" s="25"/>
      <c r="G37" s="57"/>
      <c r="H37" s="19"/>
      <c r="I37" s="17"/>
    </row>
    <row r="38" spans="1:9" s="11" customFormat="1" ht="13.9" customHeight="1" x14ac:dyDescent="0.15">
      <c r="A38" s="155"/>
      <c r="B38" s="26" t="s">
        <v>44</v>
      </c>
      <c r="C38" s="25">
        <v>3500</v>
      </c>
      <c r="D38" s="57"/>
      <c r="E38" s="19">
        <v>353500</v>
      </c>
      <c r="F38" s="25">
        <v>3500</v>
      </c>
      <c r="G38" s="57">
        <v>90</v>
      </c>
      <c r="H38" s="19">
        <f t="shared" si="0"/>
        <v>315000</v>
      </c>
      <c r="I38" s="17"/>
    </row>
    <row r="39" spans="1:9" s="11" customFormat="1" ht="13.9" customHeight="1" x14ac:dyDescent="0.15">
      <c r="A39" s="155"/>
      <c r="B39" s="26" t="s">
        <v>45</v>
      </c>
      <c r="C39" s="25">
        <v>20000</v>
      </c>
      <c r="D39" s="57">
        <v>4</v>
      </c>
      <c r="E39" s="19">
        <v>80000</v>
      </c>
      <c r="F39" s="25">
        <v>20000</v>
      </c>
      <c r="G39" s="57">
        <v>4</v>
      </c>
      <c r="H39" s="19">
        <f t="shared" si="0"/>
        <v>80000</v>
      </c>
      <c r="I39" s="17"/>
    </row>
    <row r="40" spans="1:9" s="11" customFormat="1" ht="13.9" customHeight="1" x14ac:dyDescent="0.15">
      <c r="A40" s="155"/>
      <c r="B40" s="26" t="s">
        <v>46</v>
      </c>
      <c r="C40" s="25"/>
      <c r="D40" s="57"/>
      <c r="E40" s="19">
        <v>0</v>
      </c>
      <c r="F40" s="34"/>
      <c r="G40" s="57"/>
      <c r="H40" s="19"/>
      <c r="I40" s="17"/>
    </row>
    <row r="41" spans="1:9" s="11" customFormat="1" ht="13.9" customHeight="1" x14ac:dyDescent="0.15">
      <c r="A41" s="155"/>
      <c r="B41" s="26" t="s">
        <v>47</v>
      </c>
      <c r="C41" s="33">
        <v>10000</v>
      </c>
      <c r="D41" s="57">
        <v>15</v>
      </c>
      <c r="E41" s="19">
        <v>150000</v>
      </c>
      <c r="F41" s="43">
        <v>10000</v>
      </c>
      <c r="G41" s="57">
        <v>12</v>
      </c>
      <c r="H41" s="19">
        <f>F41*G41</f>
        <v>120000</v>
      </c>
      <c r="I41" s="17"/>
    </row>
    <row r="42" spans="1:9" s="11" customFormat="1" ht="16.899999999999999" customHeight="1" x14ac:dyDescent="0.15">
      <c r="A42" s="156"/>
      <c r="B42" s="58" t="s">
        <v>48</v>
      </c>
      <c r="C42" s="59"/>
      <c r="D42" s="39"/>
      <c r="E42" s="60">
        <f>SUM(E31:E41)</f>
        <v>2202637</v>
      </c>
      <c r="F42" s="40"/>
      <c r="G42" s="38"/>
      <c r="H42" s="61">
        <f>SUM(H31:H41)</f>
        <v>1964330</v>
      </c>
      <c r="I42" s="17"/>
    </row>
    <row r="43" spans="1:9" s="11" customFormat="1" ht="13.9" customHeight="1" x14ac:dyDescent="0.15">
      <c r="A43" s="154" t="s">
        <v>49</v>
      </c>
      <c r="B43" s="75" t="s">
        <v>50</v>
      </c>
      <c r="C43" s="57"/>
      <c r="D43" s="57"/>
      <c r="E43" s="19">
        <v>1550000</v>
      </c>
      <c r="F43" s="34"/>
      <c r="G43" s="57"/>
      <c r="H43" s="19">
        <v>1550000</v>
      </c>
      <c r="I43" s="63"/>
    </row>
    <row r="44" spans="1:9" s="11" customFormat="1" ht="13.9" customHeight="1" x14ac:dyDescent="0.15">
      <c r="A44" s="155"/>
      <c r="B44" s="30" t="s">
        <v>51</v>
      </c>
      <c r="C44" s="57"/>
      <c r="D44" s="57"/>
      <c r="E44" s="19">
        <v>20000</v>
      </c>
      <c r="F44" s="34"/>
      <c r="G44" s="57"/>
      <c r="H44" s="19">
        <v>20000</v>
      </c>
      <c r="I44" s="64" t="s">
        <v>122</v>
      </c>
    </row>
    <row r="45" spans="1:9" s="11" customFormat="1" ht="13.9" customHeight="1" x14ac:dyDescent="0.15">
      <c r="A45" s="155"/>
      <c r="B45" s="30" t="s">
        <v>52</v>
      </c>
      <c r="C45" s="57"/>
      <c r="D45" s="57"/>
      <c r="E45" s="19">
        <v>500000</v>
      </c>
      <c r="F45" s="34"/>
      <c r="G45" s="57"/>
      <c r="H45" s="79">
        <v>500000</v>
      </c>
      <c r="I45" s="17" t="s">
        <v>140</v>
      </c>
    </row>
    <row r="46" spans="1:9" s="11" customFormat="1" ht="13.9" customHeight="1" x14ac:dyDescent="0.15">
      <c r="A46" s="155"/>
      <c r="B46" s="30" t="s">
        <v>53</v>
      </c>
      <c r="C46" s="57"/>
      <c r="D46" s="57"/>
      <c r="E46" s="19">
        <v>112560</v>
      </c>
      <c r="F46" s="34"/>
      <c r="G46" s="57"/>
      <c r="H46" s="79">
        <v>112560</v>
      </c>
      <c r="I46" s="17" t="s">
        <v>54</v>
      </c>
    </row>
    <row r="47" spans="1:9" s="11" customFormat="1" ht="13.9" customHeight="1" x14ac:dyDescent="0.15">
      <c r="A47" s="155"/>
      <c r="B47" s="30" t="s">
        <v>55</v>
      </c>
      <c r="C47" s="57"/>
      <c r="D47" s="57"/>
      <c r="E47" s="19">
        <v>1550000</v>
      </c>
      <c r="F47" s="34"/>
      <c r="G47" s="57"/>
      <c r="H47" s="19">
        <v>1550000</v>
      </c>
      <c r="I47" s="20" t="s">
        <v>124</v>
      </c>
    </row>
    <row r="48" spans="1:9" s="11" customFormat="1" ht="13.9" customHeight="1" x14ac:dyDescent="0.15">
      <c r="A48" s="155"/>
      <c r="B48" s="30" t="s">
        <v>56</v>
      </c>
      <c r="C48" s="57"/>
      <c r="D48" s="57"/>
      <c r="E48" s="19">
        <v>450000</v>
      </c>
      <c r="F48" s="34"/>
      <c r="G48" s="57"/>
      <c r="H48" s="79">
        <v>450000</v>
      </c>
      <c r="I48" s="20" t="s">
        <v>57</v>
      </c>
    </row>
    <row r="49" spans="1:9" s="11" customFormat="1" ht="13.9" customHeight="1" x14ac:dyDescent="0.15">
      <c r="A49" s="155"/>
      <c r="B49" s="30" t="s">
        <v>58</v>
      </c>
      <c r="C49" s="57"/>
      <c r="D49" s="57"/>
      <c r="E49" s="19">
        <v>650000</v>
      </c>
      <c r="F49" s="34"/>
      <c r="G49" s="57"/>
      <c r="H49" s="19">
        <v>650000</v>
      </c>
      <c r="I49" s="17" t="s">
        <v>125</v>
      </c>
    </row>
    <row r="50" spans="1:9" s="11" customFormat="1" ht="13.9" customHeight="1" x14ac:dyDescent="0.15">
      <c r="A50" s="155"/>
      <c r="B50" s="30" t="s">
        <v>59</v>
      </c>
      <c r="C50" s="57"/>
      <c r="D50" s="57"/>
      <c r="E50" s="19">
        <v>80000</v>
      </c>
      <c r="F50" s="34"/>
      <c r="G50" s="57"/>
      <c r="H50" s="19">
        <v>80000</v>
      </c>
      <c r="I50" s="17" t="s">
        <v>117</v>
      </c>
    </row>
    <row r="51" spans="1:9" s="11" customFormat="1" ht="13.9" customHeight="1" x14ac:dyDescent="0.15">
      <c r="A51" s="155"/>
      <c r="B51" s="30" t="s">
        <v>60</v>
      </c>
      <c r="C51" s="57"/>
      <c r="D51" s="57"/>
      <c r="E51" s="19">
        <v>94920</v>
      </c>
      <c r="F51" s="34"/>
      <c r="G51" s="57"/>
      <c r="H51" s="19">
        <v>94920</v>
      </c>
      <c r="I51" s="17" t="s">
        <v>61</v>
      </c>
    </row>
    <row r="52" spans="1:9" s="11" customFormat="1" ht="13.9" customHeight="1" x14ac:dyDescent="0.15">
      <c r="A52" s="155"/>
      <c r="B52" s="30" t="s">
        <v>62</v>
      </c>
      <c r="C52" s="57"/>
      <c r="D52" s="57"/>
      <c r="E52" s="19">
        <v>35000</v>
      </c>
      <c r="F52" s="34"/>
      <c r="G52" s="57"/>
      <c r="H52" s="19">
        <v>35000</v>
      </c>
      <c r="I52" s="17" t="s">
        <v>123</v>
      </c>
    </row>
    <row r="53" spans="1:9" s="11" customFormat="1" ht="13.9" customHeight="1" x14ac:dyDescent="0.15">
      <c r="A53" s="155"/>
      <c r="B53" s="32" t="s">
        <v>63</v>
      </c>
      <c r="C53" s="57"/>
      <c r="D53" s="57"/>
      <c r="E53" s="19">
        <v>81000</v>
      </c>
      <c r="F53" s="34"/>
      <c r="G53" s="57"/>
      <c r="H53" s="19">
        <v>81000</v>
      </c>
      <c r="I53" s="20" t="s">
        <v>64</v>
      </c>
    </row>
    <row r="54" spans="1:9" s="11" customFormat="1" ht="16.899999999999999" customHeight="1" x14ac:dyDescent="0.15">
      <c r="A54" s="156"/>
      <c r="B54" s="58" t="s">
        <v>65</v>
      </c>
      <c r="C54" s="59"/>
      <c r="D54" s="39"/>
      <c r="E54" s="60">
        <f>SUM(E43:E53)</f>
        <v>5123480</v>
      </c>
      <c r="F54" s="40"/>
      <c r="G54" s="38"/>
      <c r="H54" s="61">
        <f>SUM(H43:H53)</f>
        <v>5123480</v>
      </c>
      <c r="I54" s="17"/>
    </row>
    <row r="55" spans="1:9" s="11" customFormat="1" ht="13.9" customHeight="1" x14ac:dyDescent="0.15">
      <c r="A55" s="154" t="s">
        <v>66</v>
      </c>
      <c r="B55" s="62" t="s">
        <v>66</v>
      </c>
      <c r="C55" s="14"/>
      <c r="D55" s="14"/>
      <c r="E55" s="37">
        <v>100000</v>
      </c>
      <c r="F55" s="36"/>
      <c r="G55" s="35"/>
      <c r="H55" s="37">
        <v>100000</v>
      </c>
      <c r="I55" s="17" t="s">
        <v>67</v>
      </c>
    </row>
    <row r="56" spans="1:9" s="11" customFormat="1" ht="13.9" customHeight="1" x14ac:dyDescent="0.15">
      <c r="A56" s="155"/>
      <c r="B56" s="62" t="s">
        <v>68</v>
      </c>
      <c r="C56" s="16"/>
      <c r="D56" s="25"/>
      <c r="E56" s="56">
        <v>238920</v>
      </c>
      <c r="F56" s="34"/>
      <c r="G56" s="57"/>
      <c r="H56" s="56">
        <v>238920</v>
      </c>
      <c r="I56" s="17" t="s">
        <v>69</v>
      </c>
    </row>
    <row r="57" spans="1:9" s="11" customFormat="1" ht="13.9" customHeight="1" x14ac:dyDescent="0.15">
      <c r="A57" s="155"/>
      <c r="B57" s="62" t="s">
        <v>70</v>
      </c>
      <c r="C57" s="16"/>
      <c r="D57" s="25"/>
      <c r="E57" s="56">
        <v>380000</v>
      </c>
      <c r="F57" s="43"/>
      <c r="G57" s="57"/>
      <c r="H57" s="56">
        <v>280000</v>
      </c>
      <c r="I57" s="17" t="s">
        <v>162</v>
      </c>
    </row>
    <row r="58" spans="1:9" s="11" customFormat="1" ht="16.899999999999999" customHeight="1" x14ac:dyDescent="0.15">
      <c r="A58" s="156"/>
      <c r="B58" s="58" t="s">
        <v>71</v>
      </c>
      <c r="C58" s="59"/>
      <c r="D58" s="39"/>
      <c r="E58" s="60">
        <f>SUM(E55:E57)</f>
        <v>718920</v>
      </c>
      <c r="F58" s="44"/>
      <c r="G58" s="39"/>
      <c r="H58" s="61">
        <f>SUM(H55:H57)</f>
        <v>618920</v>
      </c>
      <c r="I58" s="17"/>
    </row>
    <row r="59" spans="1:9" s="11" customFormat="1" ht="13.9" customHeight="1" x14ac:dyDescent="0.15">
      <c r="A59" s="162" t="s">
        <v>72</v>
      </c>
      <c r="B59" s="65" t="s">
        <v>73</v>
      </c>
      <c r="C59" s="59"/>
      <c r="D59" s="39"/>
      <c r="E59" s="60">
        <v>220000</v>
      </c>
      <c r="F59" s="36"/>
      <c r="G59" s="57"/>
      <c r="H59" s="19">
        <v>220000</v>
      </c>
      <c r="I59" s="17"/>
    </row>
    <row r="60" spans="1:9" s="11" customFormat="1" ht="16.899999999999999" customHeight="1" x14ac:dyDescent="0.15">
      <c r="A60" s="163"/>
      <c r="B60" s="58" t="s">
        <v>74</v>
      </c>
      <c r="C60" s="59"/>
      <c r="D60" s="39"/>
      <c r="E60" s="60">
        <f>SUM(E59)</f>
        <v>220000</v>
      </c>
      <c r="F60" s="40"/>
      <c r="G60" s="38"/>
      <c r="H60" s="61">
        <f>SUM(H59)</f>
        <v>220000</v>
      </c>
      <c r="I60" s="17" t="s">
        <v>119</v>
      </c>
    </row>
    <row r="61" spans="1:9" s="11" customFormat="1" ht="13.9" customHeight="1" x14ac:dyDescent="0.15">
      <c r="A61" s="162" t="s">
        <v>75</v>
      </c>
      <c r="B61" s="66" t="s">
        <v>76</v>
      </c>
      <c r="C61" s="59"/>
      <c r="D61" s="39"/>
      <c r="E61" s="60">
        <v>100000</v>
      </c>
      <c r="F61" s="34"/>
      <c r="G61" s="39"/>
      <c r="H61" s="19">
        <v>100000</v>
      </c>
      <c r="I61" s="17" t="s">
        <v>77</v>
      </c>
    </row>
    <row r="62" spans="1:9" s="11" customFormat="1" ht="16.899999999999999" customHeight="1" x14ac:dyDescent="0.15">
      <c r="A62" s="163"/>
      <c r="B62" s="58" t="s">
        <v>78</v>
      </c>
      <c r="C62" s="67"/>
      <c r="D62" s="33"/>
      <c r="E62" s="68">
        <f>SUM(E61)</f>
        <v>100000</v>
      </c>
      <c r="F62" s="40"/>
      <c r="G62" s="41"/>
      <c r="H62" s="61">
        <f>SUM(H61)</f>
        <v>100000</v>
      </c>
      <c r="I62" s="17"/>
    </row>
    <row r="63" spans="1:9" s="11" customFormat="1" ht="13.9" customHeight="1" x14ac:dyDescent="0.15">
      <c r="A63" s="154" t="s">
        <v>79</v>
      </c>
      <c r="B63" s="62" t="s">
        <v>80</v>
      </c>
      <c r="C63" s="16"/>
      <c r="D63" s="25"/>
      <c r="E63" s="19">
        <v>494680</v>
      </c>
      <c r="F63" s="34"/>
      <c r="G63" s="57"/>
      <c r="H63" s="19">
        <v>494680</v>
      </c>
      <c r="I63" s="17" t="s">
        <v>81</v>
      </c>
    </row>
    <row r="64" spans="1:9" s="11" customFormat="1" ht="13.9" customHeight="1" x14ac:dyDescent="0.15">
      <c r="A64" s="155"/>
      <c r="B64" s="62" t="s">
        <v>82</v>
      </c>
      <c r="C64" s="16"/>
      <c r="D64" s="25"/>
      <c r="E64" s="19">
        <v>470000</v>
      </c>
      <c r="F64" s="34"/>
      <c r="G64" s="57"/>
      <c r="H64" s="19">
        <v>470000</v>
      </c>
      <c r="I64" s="17" t="s">
        <v>112</v>
      </c>
    </row>
    <row r="65" spans="1:9" s="11" customFormat="1" ht="16.899999999999999" customHeight="1" x14ac:dyDescent="0.15">
      <c r="A65" s="156"/>
      <c r="B65" s="58" t="s">
        <v>83</v>
      </c>
      <c r="C65" s="59"/>
      <c r="D65" s="39"/>
      <c r="E65" s="60">
        <f>SUM(E63:E64)</f>
        <v>964680</v>
      </c>
      <c r="F65" s="40"/>
      <c r="G65" s="38"/>
      <c r="H65" s="61">
        <f>SUM(H63:H64)</f>
        <v>964680</v>
      </c>
      <c r="I65" s="17"/>
    </row>
    <row r="66" spans="1:9" s="11" customFormat="1" ht="13.9" customHeight="1" x14ac:dyDescent="0.15">
      <c r="A66" s="154" t="s">
        <v>84</v>
      </c>
      <c r="B66" s="62" t="s">
        <v>84</v>
      </c>
      <c r="C66" s="13"/>
      <c r="D66" s="14"/>
      <c r="E66" s="19">
        <v>150000</v>
      </c>
      <c r="F66" s="34"/>
      <c r="G66" s="57"/>
      <c r="H66" s="19">
        <v>300000</v>
      </c>
      <c r="I66" s="17" t="s">
        <v>85</v>
      </c>
    </row>
    <row r="67" spans="1:9" s="11" customFormat="1" ht="13.9" customHeight="1" x14ac:dyDescent="0.15">
      <c r="A67" s="155"/>
      <c r="B67" s="62" t="s">
        <v>86</v>
      </c>
      <c r="C67" s="25"/>
      <c r="D67" s="25"/>
      <c r="E67" s="19">
        <v>120000</v>
      </c>
      <c r="F67" s="34"/>
      <c r="G67" s="57"/>
      <c r="H67" s="19">
        <v>120000</v>
      </c>
      <c r="I67" s="17" t="s">
        <v>135</v>
      </c>
    </row>
    <row r="68" spans="1:9" s="11" customFormat="1" ht="13.9" customHeight="1" x14ac:dyDescent="0.15">
      <c r="A68" s="155"/>
      <c r="B68" s="62" t="s">
        <v>87</v>
      </c>
      <c r="C68" s="25"/>
      <c r="D68" s="25"/>
      <c r="E68" s="19">
        <v>150000</v>
      </c>
      <c r="F68" s="34"/>
      <c r="G68" s="57"/>
      <c r="H68" s="19">
        <v>250000</v>
      </c>
      <c r="I68" s="17" t="s">
        <v>120</v>
      </c>
    </row>
    <row r="69" spans="1:9" s="11" customFormat="1" ht="13.9" customHeight="1" x14ac:dyDescent="0.15">
      <c r="A69" s="155"/>
      <c r="B69" s="62" t="s">
        <v>88</v>
      </c>
      <c r="C69" s="16"/>
      <c r="D69" s="25"/>
      <c r="E69" s="19">
        <v>40000</v>
      </c>
      <c r="F69" s="34"/>
      <c r="G69" s="57"/>
      <c r="H69" s="19">
        <v>40000</v>
      </c>
      <c r="I69" s="28" t="s">
        <v>89</v>
      </c>
    </row>
    <row r="70" spans="1:9" s="11" customFormat="1" ht="13.9" customHeight="1" x14ac:dyDescent="0.15">
      <c r="A70" s="155"/>
      <c r="B70" s="62" t="s">
        <v>90</v>
      </c>
      <c r="C70" s="16"/>
      <c r="D70" s="25"/>
      <c r="E70" s="19">
        <v>8000</v>
      </c>
      <c r="F70" s="34"/>
      <c r="G70" s="57"/>
      <c r="H70" s="79">
        <v>8000</v>
      </c>
      <c r="I70" s="17" t="s">
        <v>121</v>
      </c>
    </row>
    <row r="71" spans="1:9" s="11" customFormat="1" ht="16.899999999999999" customHeight="1" x14ac:dyDescent="0.15">
      <c r="A71" s="156"/>
      <c r="B71" s="58" t="s">
        <v>91</v>
      </c>
      <c r="C71" s="59"/>
      <c r="D71" s="39"/>
      <c r="E71" s="60">
        <f>SUM(E66:E70)</f>
        <v>468000</v>
      </c>
      <c r="F71" s="40"/>
      <c r="G71" s="38"/>
      <c r="H71" s="61">
        <f>SUM(H66:H70)</f>
        <v>718000</v>
      </c>
      <c r="I71" s="17"/>
    </row>
    <row r="72" spans="1:9" s="11" customFormat="1" ht="13.9" customHeight="1" x14ac:dyDescent="0.15">
      <c r="A72" s="164" t="s">
        <v>92</v>
      </c>
      <c r="B72" s="17" t="s">
        <v>93</v>
      </c>
      <c r="C72" s="16"/>
      <c r="D72" s="25"/>
      <c r="E72" s="19">
        <v>0</v>
      </c>
      <c r="F72" s="36"/>
      <c r="G72" s="57"/>
      <c r="H72" s="79">
        <v>0</v>
      </c>
      <c r="I72" s="17" t="s">
        <v>93</v>
      </c>
    </row>
    <row r="73" spans="1:9" s="11" customFormat="1" ht="13.9" customHeight="1" x14ac:dyDescent="0.15">
      <c r="A73" s="165"/>
      <c r="B73" s="20" t="s">
        <v>157</v>
      </c>
      <c r="C73" s="16"/>
      <c r="D73" s="25"/>
      <c r="E73" s="19">
        <v>150000</v>
      </c>
      <c r="F73" s="34"/>
      <c r="G73" s="57"/>
      <c r="H73" s="79"/>
      <c r="I73" s="20" t="s">
        <v>141</v>
      </c>
    </row>
    <row r="74" spans="1:9" s="11" customFormat="1" ht="13.9" customHeight="1" x14ac:dyDescent="0.15">
      <c r="A74" s="165"/>
      <c r="B74" s="17" t="s">
        <v>158</v>
      </c>
      <c r="C74" s="16"/>
      <c r="D74" s="25"/>
      <c r="E74" s="19">
        <v>110000</v>
      </c>
      <c r="F74" s="34"/>
      <c r="G74" s="57"/>
      <c r="H74" s="79"/>
      <c r="I74" s="17" t="s">
        <v>142</v>
      </c>
    </row>
    <row r="75" spans="1:9" s="11" customFormat="1" ht="13.9" customHeight="1" x14ac:dyDescent="0.15">
      <c r="A75" s="165"/>
      <c r="B75" s="17" t="s">
        <v>159</v>
      </c>
      <c r="C75" s="16"/>
      <c r="D75" s="25"/>
      <c r="E75" s="19">
        <v>550000</v>
      </c>
      <c r="F75" s="34"/>
      <c r="G75" s="57"/>
      <c r="H75" s="79"/>
      <c r="I75" s="17" t="s">
        <v>143</v>
      </c>
    </row>
    <row r="76" spans="1:9" s="11" customFormat="1" ht="13.9" customHeight="1" x14ac:dyDescent="0.15">
      <c r="A76" s="165"/>
      <c r="B76" s="17" t="s">
        <v>160</v>
      </c>
      <c r="C76" s="16"/>
      <c r="D76" s="25"/>
      <c r="E76" s="19">
        <v>305000</v>
      </c>
      <c r="F76" s="34"/>
      <c r="G76" s="57"/>
      <c r="H76" s="79"/>
      <c r="I76" s="17" t="s">
        <v>147</v>
      </c>
    </row>
    <row r="77" spans="1:9" s="11" customFormat="1" ht="13.9" customHeight="1" x14ac:dyDescent="0.15">
      <c r="A77" s="165"/>
      <c r="B77" s="17" t="s">
        <v>161</v>
      </c>
      <c r="C77" s="16"/>
      <c r="D77" s="25"/>
      <c r="E77" s="19">
        <v>100000</v>
      </c>
      <c r="F77" s="34"/>
      <c r="G77" s="57"/>
      <c r="H77" s="79"/>
      <c r="I77" s="17" t="s">
        <v>144</v>
      </c>
    </row>
    <row r="78" spans="1:9" s="11" customFormat="1" ht="13.9" customHeight="1" x14ac:dyDescent="0.15">
      <c r="A78" s="165"/>
      <c r="B78" s="20"/>
      <c r="C78" s="16"/>
      <c r="D78" s="25"/>
      <c r="E78" s="19"/>
      <c r="F78" s="34"/>
      <c r="G78" s="57"/>
      <c r="H78" s="19"/>
      <c r="I78" s="20"/>
    </row>
    <row r="79" spans="1:9" s="11" customFormat="1" ht="13.9" customHeight="1" x14ac:dyDescent="0.15">
      <c r="A79" s="165"/>
      <c r="B79" s="20"/>
      <c r="C79" s="16"/>
      <c r="D79" s="25"/>
      <c r="E79" s="19"/>
      <c r="F79" s="34"/>
      <c r="G79" s="57"/>
      <c r="H79" s="19"/>
      <c r="I79" s="20"/>
    </row>
    <row r="80" spans="1:9" s="11" customFormat="1" ht="16.899999999999999" customHeight="1" x14ac:dyDescent="0.15">
      <c r="A80" s="156"/>
      <c r="B80" s="73" t="s">
        <v>95</v>
      </c>
      <c r="C80" s="59"/>
      <c r="D80" s="39"/>
      <c r="E80" s="60">
        <f>SUM(E72:E79)</f>
        <v>1215000</v>
      </c>
      <c r="F80" s="40"/>
      <c r="G80" s="38"/>
      <c r="H80" s="61">
        <f>SUM(H72:H79)</f>
        <v>0</v>
      </c>
      <c r="I80" s="17"/>
    </row>
    <row r="81" spans="1:9" s="11" customFormat="1" ht="13.9" customHeight="1" x14ac:dyDescent="0.15">
      <c r="A81" s="154" t="s">
        <v>96</v>
      </c>
      <c r="B81" s="62" t="s">
        <v>97</v>
      </c>
      <c r="C81" s="16"/>
      <c r="D81" s="25"/>
      <c r="E81" s="56">
        <v>0</v>
      </c>
      <c r="F81" s="34">
        <v>3000</v>
      </c>
      <c r="G81" s="57">
        <v>90</v>
      </c>
      <c r="H81" s="19">
        <f>F81*G81</f>
        <v>270000</v>
      </c>
      <c r="I81" s="17"/>
    </row>
    <row r="82" spans="1:9" s="11" customFormat="1" ht="13.9" customHeight="1" x14ac:dyDescent="0.15">
      <c r="A82" s="155"/>
      <c r="B82" s="62" t="s">
        <v>98</v>
      </c>
      <c r="C82" s="16"/>
      <c r="D82" s="25"/>
      <c r="E82" s="56">
        <v>0</v>
      </c>
      <c r="F82" s="34"/>
      <c r="G82" s="57"/>
      <c r="H82" s="19">
        <v>0</v>
      </c>
      <c r="I82" s="17"/>
    </row>
    <row r="83" spans="1:9" s="11" customFormat="1" ht="13.9" customHeight="1" x14ac:dyDescent="0.15">
      <c r="A83" s="155"/>
      <c r="B83" s="62" t="s">
        <v>99</v>
      </c>
      <c r="C83" s="16"/>
      <c r="D83" s="25"/>
      <c r="E83" s="56">
        <v>0</v>
      </c>
      <c r="F83" s="34"/>
      <c r="G83" s="57"/>
      <c r="H83" s="19">
        <v>0</v>
      </c>
      <c r="I83" s="17" t="s">
        <v>100</v>
      </c>
    </row>
    <row r="84" spans="1:9" s="11" customFormat="1" ht="13.9" customHeight="1" x14ac:dyDescent="0.15">
      <c r="A84" s="155"/>
      <c r="B84" s="62" t="s">
        <v>101</v>
      </c>
      <c r="C84" s="16"/>
      <c r="D84" s="25"/>
      <c r="E84" s="56">
        <v>8000</v>
      </c>
      <c r="F84" s="34"/>
      <c r="G84" s="57"/>
      <c r="H84" s="19">
        <v>8000</v>
      </c>
      <c r="I84" s="17" t="s">
        <v>102</v>
      </c>
    </row>
    <row r="85" spans="1:9" s="11" customFormat="1" ht="16.899999999999999" customHeight="1" x14ac:dyDescent="0.15">
      <c r="A85" s="156"/>
      <c r="B85" s="58" t="s">
        <v>103</v>
      </c>
      <c r="C85" s="59"/>
      <c r="D85" s="59"/>
      <c r="E85" s="61">
        <f>SUM(E81:E84)</f>
        <v>8000</v>
      </c>
      <c r="F85" s="40"/>
      <c r="G85" s="38"/>
      <c r="H85" s="61">
        <f>SUM(H81:H84)</f>
        <v>278000</v>
      </c>
      <c r="I85" s="17"/>
    </row>
    <row r="86" spans="1:9" s="11" customFormat="1" ht="16.899999999999999" customHeight="1" x14ac:dyDescent="0.15">
      <c r="A86" s="154" t="s">
        <v>132</v>
      </c>
      <c r="B86" s="76" t="s">
        <v>133</v>
      </c>
      <c r="C86" s="13"/>
      <c r="D86" s="13"/>
      <c r="E86" s="15"/>
      <c r="F86" s="36"/>
      <c r="G86" s="35"/>
      <c r="H86" s="15"/>
      <c r="I86" s="17"/>
    </row>
    <row r="87" spans="1:9" s="11" customFormat="1" ht="16.899999999999999" customHeight="1" x14ac:dyDescent="0.15">
      <c r="A87" s="156"/>
      <c r="B87" s="58" t="s">
        <v>134</v>
      </c>
      <c r="C87" s="13"/>
      <c r="D87" s="13"/>
      <c r="E87" s="15">
        <f>E86</f>
        <v>0</v>
      </c>
      <c r="F87" s="36"/>
      <c r="G87" s="35"/>
      <c r="H87" s="15">
        <f>H86</f>
        <v>0</v>
      </c>
      <c r="I87" s="17"/>
    </row>
    <row r="88" spans="1:9" s="11" customFormat="1" ht="13.9" customHeight="1" x14ac:dyDescent="0.15">
      <c r="A88" s="69" t="s">
        <v>104</v>
      </c>
      <c r="B88" s="65" t="s">
        <v>105</v>
      </c>
      <c r="C88" s="13"/>
      <c r="D88" s="13"/>
      <c r="E88" s="15">
        <v>0</v>
      </c>
      <c r="F88" s="36"/>
      <c r="G88" s="35"/>
      <c r="H88" s="15">
        <v>0</v>
      </c>
      <c r="I88" s="17"/>
    </row>
    <row r="89" spans="1:9" s="11" customFormat="1" ht="13.9" customHeight="1" x14ac:dyDescent="0.15">
      <c r="A89" s="70"/>
      <c r="B89" s="32" t="s">
        <v>106</v>
      </c>
      <c r="C89" s="33"/>
      <c r="D89" s="33"/>
      <c r="E89" s="42"/>
      <c r="F89" s="43"/>
      <c r="G89" s="41"/>
      <c r="H89" s="80">
        <v>0</v>
      </c>
      <c r="I89" s="78" t="s">
        <v>146</v>
      </c>
    </row>
    <row r="90" spans="1:9" s="11" customFormat="1" ht="16.899999999999999" customHeight="1" x14ac:dyDescent="0.15">
      <c r="A90" s="161" t="s">
        <v>107</v>
      </c>
      <c r="B90" s="160"/>
      <c r="C90" s="59"/>
      <c r="D90" s="59"/>
      <c r="E90" s="61">
        <f>SUM(E42,E54,E58,E60,E62,E65,E71,E80,E85,E88,E89,E87)</f>
        <v>11020717</v>
      </c>
      <c r="F90" s="40"/>
      <c r="G90" s="38"/>
      <c r="H90" s="61">
        <f>SUM(H42,H54,H58,H60,H62,H65,H71,H80,H85,H88,H89,H87)</f>
        <v>9987410</v>
      </c>
      <c r="I90" s="17"/>
    </row>
    <row r="91" spans="1:9" s="11" customFormat="1" ht="16.899999999999999" customHeight="1" x14ac:dyDescent="0.15">
      <c r="A91" s="161" t="s">
        <v>108</v>
      </c>
      <c r="B91" s="160"/>
      <c r="C91" s="59"/>
      <c r="D91" s="59"/>
      <c r="E91" s="61">
        <f>E25-E90</f>
        <v>1380283</v>
      </c>
      <c r="F91" s="40"/>
      <c r="G91" s="38"/>
      <c r="H91" s="61">
        <f>H25-H90</f>
        <v>2228590</v>
      </c>
      <c r="I91" s="71"/>
    </row>
    <row r="92" spans="1:9" s="11" customFormat="1" ht="16.899999999999999" customHeight="1" x14ac:dyDescent="0.15">
      <c r="A92" s="161" t="s">
        <v>109</v>
      </c>
      <c r="B92" s="160"/>
      <c r="C92" s="59"/>
      <c r="D92" s="59"/>
      <c r="E92" s="61">
        <f>E27-E90</f>
        <v>4187000</v>
      </c>
      <c r="F92" s="40"/>
      <c r="G92" s="38"/>
      <c r="H92" s="61">
        <f>H27-H90</f>
        <v>5035307</v>
      </c>
      <c r="I92" s="72"/>
    </row>
  </sheetData>
  <mergeCells count="18">
    <mergeCell ref="A92:B92"/>
    <mergeCell ref="A43:A54"/>
    <mergeCell ref="A55:A58"/>
    <mergeCell ref="A59:A60"/>
    <mergeCell ref="A61:A62"/>
    <mergeCell ref="A63:A65"/>
    <mergeCell ref="A66:A71"/>
    <mergeCell ref="A72:A80"/>
    <mergeCell ref="A81:A85"/>
    <mergeCell ref="A86:A87"/>
    <mergeCell ref="A90:B90"/>
    <mergeCell ref="A91:B91"/>
    <mergeCell ref="A31:A42"/>
    <mergeCell ref="A1:I1"/>
    <mergeCell ref="A2:I2"/>
    <mergeCell ref="A25:B25"/>
    <mergeCell ref="A26:B26"/>
    <mergeCell ref="A27:B27"/>
  </mergeCells>
  <phoneticPr fontId="4"/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6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93"/>
  <sheetViews>
    <sheetView tabSelected="1" zoomScale="86" zoomScaleNormal="86" workbookViewId="0">
      <selection activeCell="L76" sqref="L76"/>
    </sheetView>
  </sheetViews>
  <sheetFormatPr defaultColWidth="9" defaultRowHeight="13.5" x14ac:dyDescent="0.15"/>
  <cols>
    <col min="1" max="1" width="12.875" style="1" customWidth="1"/>
    <col min="2" max="2" width="29.125" style="1" customWidth="1"/>
    <col min="3" max="3" width="8.75" style="1" customWidth="1"/>
    <col min="4" max="4" width="5.75" style="1" customWidth="1"/>
    <col min="5" max="5" width="12.75" style="1" customWidth="1"/>
    <col min="6" max="6" width="8.75" style="1" customWidth="1"/>
    <col min="7" max="7" width="5.75" style="1" customWidth="1"/>
    <col min="8" max="8" width="12.75" style="1" customWidth="1"/>
    <col min="9" max="9" width="8.75" style="1" customWidth="1"/>
    <col min="10" max="10" width="5.75" style="1" customWidth="1"/>
    <col min="11" max="11" width="12.75" style="1" customWidth="1"/>
    <col min="12" max="12" width="42.75" style="1" customWidth="1"/>
    <col min="13" max="16384" width="9" style="1"/>
  </cols>
  <sheetData>
    <row r="1" spans="1:12" ht="17.25" x14ac:dyDescent="0.2">
      <c r="A1" s="157" t="s">
        <v>151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</row>
    <row r="2" spans="1:12" ht="9.6" customHeight="1" x14ac:dyDescent="0.15">
      <c r="A2" s="158"/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</row>
    <row r="3" spans="1:12" ht="13.9" customHeight="1" x14ac:dyDescent="0.2">
      <c r="A3" s="2" t="s">
        <v>0</v>
      </c>
      <c r="B3" s="3"/>
      <c r="C3" s="3"/>
      <c r="D3" s="3"/>
      <c r="E3" s="3"/>
      <c r="F3" s="2"/>
      <c r="G3" s="2"/>
      <c r="H3" s="2"/>
      <c r="I3" s="2"/>
      <c r="J3" s="2"/>
      <c r="K3" s="2"/>
      <c r="L3" s="4" t="s">
        <v>1</v>
      </c>
    </row>
    <row r="4" spans="1:12" s="11" customFormat="1" ht="30" customHeight="1" x14ac:dyDescent="0.15">
      <c r="A4" s="5" t="s">
        <v>2</v>
      </c>
      <c r="B4" s="6" t="s">
        <v>3</v>
      </c>
      <c r="C4" s="7" t="s">
        <v>4</v>
      </c>
      <c r="D4" s="8" t="s">
        <v>5</v>
      </c>
      <c r="E4" s="81" t="s">
        <v>136</v>
      </c>
      <c r="F4" s="7" t="s">
        <v>4</v>
      </c>
      <c r="G4" s="8" t="s">
        <v>5</v>
      </c>
      <c r="H4" s="81" t="s">
        <v>152</v>
      </c>
      <c r="I4" s="7" t="s">
        <v>4</v>
      </c>
      <c r="J4" s="8" t="s">
        <v>5</v>
      </c>
      <c r="K4" s="81" t="s">
        <v>153</v>
      </c>
      <c r="L4" s="10" t="s">
        <v>6</v>
      </c>
    </row>
    <row r="5" spans="1:12" s="11" customFormat="1" ht="13.9" customHeight="1" x14ac:dyDescent="0.15">
      <c r="A5" s="12" t="s">
        <v>7</v>
      </c>
      <c r="B5" s="83" t="s">
        <v>8</v>
      </c>
      <c r="C5" s="123">
        <v>40000</v>
      </c>
      <c r="D5" s="123">
        <v>40</v>
      </c>
      <c r="E5" s="124">
        <v>1600000</v>
      </c>
      <c r="F5" s="47">
        <v>40000</v>
      </c>
      <c r="G5" s="16">
        <v>21</v>
      </c>
      <c r="H5" s="15">
        <v>840000</v>
      </c>
      <c r="I5" s="13">
        <v>40000</v>
      </c>
      <c r="J5" s="16">
        <v>20</v>
      </c>
      <c r="K5" s="15">
        <f>I5*J5</f>
        <v>800000</v>
      </c>
      <c r="L5" s="17" t="s">
        <v>145</v>
      </c>
    </row>
    <row r="6" spans="1:12" s="11" customFormat="1" ht="13.9" customHeight="1" x14ac:dyDescent="0.15">
      <c r="A6" s="18" t="s">
        <v>9</v>
      </c>
      <c r="B6" s="84" t="s">
        <v>10</v>
      </c>
      <c r="C6" s="125">
        <v>120000</v>
      </c>
      <c r="D6" s="125"/>
      <c r="E6" s="126">
        <v>11650000</v>
      </c>
      <c r="F6" s="24">
        <v>120000</v>
      </c>
      <c r="G6" s="16"/>
      <c r="H6" s="19">
        <v>10610000</v>
      </c>
      <c r="I6" s="16">
        <v>120000</v>
      </c>
      <c r="J6" s="16">
        <v>90</v>
      </c>
      <c r="K6" s="19">
        <f>I6*J6</f>
        <v>10800000</v>
      </c>
      <c r="L6" s="17"/>
    </row>
    <row r="7" spans="1:12" s="11" customFormat="1" ht="13.9" customHeight="1" x14ac:dyDescent="0.15">
      <c r="A7" s="18"/>
      <c r="B7" s="84" t="s">
        <v>129</v>
      </c>
      <c r="C7" s="125">
        <v>9000</v>
      </c>
      <c r="D7" s="125">
        <v>99</v>
      </c>
      <c r="E7" s="126">
        <v>891000</v>
      </c>
      <c r="F7" s="24"/>
      <c r="G7" s="16"/>
      <c r="H7" s="19">
        <v>0</v>
      </c>
      <c r="I7" s="16"/>
      <c r="J7" s="16"/>
      <c r="K7" s="19"/>
      <c r="L7" s="17"/>
    </row>
    <row r="8" spans="1:12" s="11" customFormat="1" ht="13.9" customHeight="1" x14ac:dyDescent="0.15">
      <c r="A8" s="18"/>
      <c r="B8" s="84" t="s">
        <v>11</v>
      </c>
      <c r="C8" s="125">
        <v>30000</v>
      </c>
      <c r="D8" s="125">
        <v>5</v>
      </c>
      <c r="E8" s="126">
        <v>150000</v>
      </c>
      <c r="F8" s="24"/>
      <c r="G8" s="16"/>
      <c r="H8" s="19">
        <v>0</v>
      </c>
      <c r="I8" s="16"/>
      <c r="J8" s="16"/>
      <c r="K8" s="19"/>
      <c r="L8" s="20"/>
    </row>
    <row r="9" spans="1:12" s="11" customFormat="1" ht="13.9" customHeight="1" x14ac:dyDescent="0.15">
      <c r="A9" s="18"/>
      <c r="B9" s="84" t="s">
        <v>12</v>
      </c>
      <c r="C9" s="125">
        <v>10000</v>
      </c>
      <c r="D9" s="125">
        <v>30</v>
      </c>
      <c r="E9" s="126">
        <v>300000</v>
      </c>
      <c r="F9" s="24"/>
      <c r="G9" s="16"/>
      <c r="H9" s="19">
        <v>0</v>
      </c>
      <c r="I9" s="16"/>
      <c r="J9" s="16"/>
      <c r="K9" s="19"/>
      <c r="L9" s="20"/>
    </row>
    <row r="10" spans="1:12" s="11" customFormat="1" ht="13.9" customHeight="1" x14ac:dyDescent="0.15">
      <c r="A10" s="18" t="s">
        <v>13</v>
      </c>
      <c r="B10" s="84" t="s">
        <v>128</v>
      </c>
      <c r="C10" s="125"/>
      <c r="D10" s="125"/>
      <c r="E10" s="126"/>
      <c r="F10" s="24"/>
      <c r="G10" s="16"/>
      <c r="H10" s="19">
        <v>0</v>
      </c>
      <c r="I10" s="16"/>
      <c r="J10" s="16"/>
      <c r="K10" s="19"/>
      <c r="L10" s="21"/>
    </row>
    <row r="11" spans="1:12" s="11" customFormat="1" ht="13.9" customHeight="1" x14ac:dyDescent="0.15">
      <c r="A11" s="18"/>
      <c r="B11" s="84" t="s">
        <v>110</v>
      </c>
      <c r="C11" s="125">
        <v>10000</v>
      </c>
      <c r="D11" s="125">
        <v>7</v>
      </c>
      <c r="E11" s="126">
        <v>70000</v>
      </c>
      <c r="F11" s="24"/>
      <c r="G11" s="16"/>
      <c r="H11" s="19">
        <v>0</v>
      </c>
      <c r="I11" s="16"/>
      <c r="J11" s="16"/>
      <c r="K11" s="19"/>
      <c r="L11" s="21"/>
    </row>
    <row r="12" spans="1:12" s="11" customFormat="1" ht="13.9" customHeight="1" x14ac:dyDescent="0.15">
      <c r="A12" s="18"/>
      <c r="B12" s="84" t="s">
        <v>111</v>
      </c>
      <c r="C12" s="125"/>
      <c r="D12" s="125"/>
      <c r="E12" s="126">
        <v>1510000</v>
      </c>
      <c r="F12" s="24"/>
      <c r="G12" s="16"/>
      <c r="H12" s="19">
        <v>0</v>
      </c>
      <c r="I12" s="16"/>
      <c r="J12" s="16"/>
      <c r="K12" s="19"/>
      <c r="L12" s="78" t="s">
        <v>14</v>
      </c>
    </row>
    <row r="13" spans="1:12" s="11" customFormat="1" ht="13.9" customHeight="1" x14ac:dyDescent="0.15">
      <c r="A13" s="22" t="s">
        <v>15</v>
      </c>
      <c r="B13" s="85" t="s">
        <v>16</v>
      </c>
      <c r="C13" s="125"/>
      <c r="D13" s="125"/>
      <c r="E13" s="126">
        <v>2330000</v>
      </c>
      <c r="F13" s="24"/>
      <c r="G13" s="16"/>
      <c r="H13" s="19">
        <v>0</v>
      </c>
      <c r="I13" s="16"/>
      <c r="J13" s="16"/>
      <c r="K13" s="77"/>
      <c r="L13" s="78" t="s">
        <v>17</v>
      </c>
    </row>
    <row r="14" spans="1:12" s="11" customFormat="1" ht="13.9" customHeight="1" x14ac:dyDescent="0.15">
      <c r="A14" s="18"/>
      <c r="B14" s="85" t="s">
        <v>154</v>
      </c>
      <c r="C14" s="125"/>
      <c r="D14" s="125"/>
      <c r="E14" s="126"/>
      <c r="F14" s="24"/>
      <c r="G14" s="16"/>
      <c r="H14" s="19">
        <v>205000</v>
      </c>
      <c r="I14" s="16"/>
      <c r="J14" s="16"/>
      <c r="K14" s="19"/>
      <c r="L14" s="17"/>
    </row>
    <row r="15" spans="1:12" s="11" customFormat="1" ht="13.9" customHeight="1" x14ac:dyDescent="0.15">
      <c r="A15" s="18"/>
      <c r="B15" s="85" t="s">
        <v>164</v>
      </c>
      <c r="C15" s="125"/>
      <c r="D15" s="125"/>
      <c r="E15" s="126">
        <v>100000</v>
      </c>
      <c r="F15" s="24"/>
      <c r="G15" s="16"/>
      <c r="H15" s="19"/>
      <c r="I15" s="16"/>
      <c r="J15" s="16"/>
      <c r="K15" s="19"/>
      <c r="L15" s="17"/>
    </row>
    <row r="16" spans="1:12" s="11" customFormat="1" ht="13.9" customHeight="1" x14ac:dyDescent="0.15">
      <c r="A16" s="18"/>
      <c r="B16" s="85" t="s">
        <v>131</v>
      </c>
      <c r="C16" s="125"/>
      <c r="D16" s="125"/>
      <c r="E16" s="126">
        <v>100000</v>
      </c>
      <c r="F16" s="24"/>
      <c r="G16" s="16"/>
      <c r="H16" s="19">
        <v>0</v>
      </c>
      <c r="I16" s="16"/>
      <c r="J16" s="16"/>
      <c r="K16" s="19"/>
      <c r="L16" s="17"/>
    </row>
    <row r="17" spans="1:12" s="11" customFormat="1" ht="13.9" customHeight="1" x14ac:dyDescent="0.15">
      <c r="A17" s="18" t="s">
        <v>18</v>
      </c>
      <c r="B17" s="86" t="s">
        <v>19</v>
      </c>
      <c r="C17" s="127"/>
      <c r="D17" s="127"/>
      <c r="E17" s="79">
        <v>1000</v>
      </c>
      <c r="F17" s="24"/>
      <c r="G17" s="16"/>
      <c r="H17" s="19">
        <v>1000</v>
      </c>
      <c r="I17" s="16"/>
      <c r="J17" s="16"/>
      <c r="K17" s="19">
        <v>1000</v>
      </c>
      <c r="L17" s="17" t="s">
        <v>20</v>
      </c>
    </row>
    <row r="18" spans="1:12" s="11" customFormat="1" ht="13.9" customHeight="1" x14ac:dyDescent="0.15">
      <c r="A18" s="18"/>
      <c r="B18" s="85" t="s">
        <v>21</v>
      </c>
      <c r="C18" s="125"/>
      <c r="D18" s="125"/>
      <c r="E18" s="126">
        <v>140000</v>
      </c>
      <c r="F18" s="24"/>
      <c r="G18" s="16"/>
      <c r="H18" s="19">
        <v>140000</v>
      </c>
      <c r="I18" s="16"/>
      <c r="J18" s="16"/>
      <c r="K18" s="19">
        <v>140000</v>
      </c>
      <c r="L18" s="27"/>
    </row>
    <row r="19" spans="1:12" s="11" customFormat="1" ht="13.9" customHeight="1" x14ac:dyDescent="0.15">
      <c r="A19" s="18"/>
      <c r="B19" s="85" t="s">
        <v>22</v>
      </c>
      <c r="C19" s="125"/>
      <c r="D19" s="125"/>
      <c r="E19" s="126">
        <v>200000</v>
      </c>
      <c r="F19" s="24"/>
      <c r="G19" s="16"/>
      <c r="H19" s="19">
        <v>200000</v>
      </c>
      <c r="I19" s="16"/>
      <c r="J19" s="16"/>
      <c r="K19" s="19">
        <v>200000</v>
      </c>
      <c r="L19" s="17"/>
    </row>
    <row r="20" spans="1:12" s="11" customFormat="1" ht="13.9" customHeight="1" x14ac:dyDescent="0.15">
      <c r="A20" s="18"/>
      <c r="B20" s="85" t="s">
        <v>23</v>
      </c>
      <c r="C20" s="125">
        <v>10000</v>
      </c>
      <c r="D20" s="125">
        <v>23</v>
      </c>
      <c r="E20" s="126">
        <v>230000</v>
      </c>
      <c r="F20" s="24">
        <v>10000</v>
      </c>
      <c r="G20" s="16">
        <v>15</v>
      </c>
      <c r="H20" s="19">
        <v>150000</v>
      </c>
      <c r="I20" s="16">
        <v>10000</v>
      </c>
      <c r="J20" s="16">
        <v>12</v>
      </c>
      <c r="K20" s="19">
        <f>I20*J20</f>
        <v>120000</v>
      </c>
      <c r="L20" s="20"/>
    </row>
    <row r="21" spans="1:12" s="11" customFormat="1" ht="13.9" customHeight="1" x14ac:dyDescent="0.15">
      <c r="A21" s="18"/>
      <c r="B21" s="85" t="s">
        <v>25</v>
      </c>
      <c r="C21" s="125"/>
      <c r="D21" s="125"/>
      <c r="E21" s="126">
        <v>120000</v>
      </c>
      <c r="F21" s="24"/>
      <c r="G21" s="16"/>
      <c r="H21" s="19">
        <v>120000</v>
      </c>
      <c r="I21" s="16"/>
      <c r="J21" s="16"/>
      <c r="K21" s="19">
        <v>120000</v>
      </c>
      <c r="L21" s="17"/>
    </row>
    <row r="22" spans="1:12" s="11" customFormat="1" ht="13.9" customHeight="1" x14ac:dyDescent="0.15">
      <c r="A22" s="18"/>
      <c r="B22" s="85" t="s">
        <v>155</v>
      </c>
      <c r="C22" s="125"/>
      <c r="D22" s="125"/>
      <c r="E22" s="126"/>
      <c r="F22" s="24"/>
      <c r="G22" s="16"/>
      <c r="H22" s="19">
        <v>100000</v>
      </c>
      <c r="I22" s="16"/>
      <c r="J22" s="16"/>
      <c r="K22" s="19"/>
      <c r="L22" s="17"/>
    </row>
    <row r="23" spans="1:12" s="11" customFormat="1" ht="13.9" customHeight="1" x14ac:dyDescent="0.15">
      <c r="A23" s="18"/>
      <c r="B23" s="85" t="s">
        <v>26</v>
      </c>
      <c r="C23" s="125"/>
      <c r="D23" s="125"/>
      <c r="E23" s="126">
        <v>35000</v>
      </c>
      <c r="F23" s="24"/>
      <c r="G23" s="16"/>
      <c r="H23" s="19">
        <v>35000</v>
      </c>
      <c r="I23" s="16"/>
      <c r="J23" s="16"/>
      <c r="K23" s="19">
        <v>35000</v>
      </c>
      <c r="L23" s="74" t="s">
        <v>138</v>
      </c>
    </row>
    <row r="24" spans="1:12" s="11" customFormat="1" ht="13.9" customHeight="1" x14ac:dyDescent="0.15">
      <c r="A24" s="29" t="s">
        <v>27</v>
      </c>
      <c r="B24" s="87" t="s">
        <v>28</v>
      </c>
      <c r="C24" s="127"/>
      <c r="D24" s="127"/>
      <c r="E24" s="126">
        <v>1000000</v>
      </c>
      <c r="F24" s="24"/>
      <c r="G24" s="16"/>
      <c r="H24" s="19">
        <v>0</v>
      </c>
      <c r="I24" s="16"/>
      <c r="J24" s="16"/>
      <c r="K24" s="19"/>
      <c r="L24" s="17"/>
    </row>
    <row r="25" spans="1:12" s="11" customFormat="1" ht="13.9" customHeight="1" x14ac:dyDescent="0.15">
      <c r="A25" s="31"/>
      <c r="B25" s="88" t="s">
        <v>29</v>
      </c>
      <c r="C25" s="128"/>
      <c r="D25" s="129"/>
      <c r="E25" s="80"/>
      <c r="F25" s="41"/>
      <c r="G25" s="24"/>
      <c r="H25" s="19">
        <v>0</v>
      </c>
      <c r="I25" s="34"/>
      <c r="J25" s="24"/>
      <c r="K25" s="19"/>
      <c r="L25" s="17"/>
    </row>
    <row r="26" spans="1:12" s="11" customFormat="1" ht="16.899999999999999" customHeight="1" x14ac:dyDescent="0.15">
      <c r="A26" s="159" t="s">
        <v>30</v>
      </c>
      <c r="B26" s="160"/>
      <c r="C26" s="130"/>
      <c r="D26" s="131"/>
      <c r="E26" s="132">
        <f>SUM(E5:E25)</f>
        <v>20427000</v>
      </c>
      <c r="F26" s="35"/>
      <c r="G26" s="14"/>
      <c r="H26" s="15">
        <v>12401000</v>
      </c>
      <c r="I26" s="36"/>
      <c r="J26" s="14"/>
      <c r="K26" s="37">
        <f>SUM(K5:K25)</f>
        <v>12216000</v>
      </c>
      <c r="L26" s="17"/>
    </row>
    <row r="27" spans="1:12" s="11" customFormat="1" ht="16.899999999999999" customHeight="1" x14ac:dyDescent="0.15">
      <c r="A27" s="161" t="s">
        <v>31</v>
      </c>
      <c r="B27" s="160"/>
      <c r="C27" s="133"/>
      <c r="D27" s="134"/>
      <c r="E27" s="135">
        <v>2570892</v>
      </c>
      <c r="F27" s="38"/>
      <c r="G27" s="39"/>
      <c r="H27" s="60">
        <v>2806717</v>
      </c>
      <c r="I27" s="40"/>
      <c r="J27" s="39"/>
      <c r="K27" s="60">
        <v>2806717</v>
      </c>
      <c r="L27" s="82" t="s">
        <v>163</v>
      </c>
    </row>
    <row r="28" spans="1:12" s="11" customFormat="1" ht="16.899999999999999" customHeight="1" x14ac:dyDescent="0.15">
      <c r="A28" s="161" t="s">
        <v>33</v>
      </c>
      <c r="B28" s="160"/>
      <c r="C28" s="136"/>
      <c r="D28" s="137"/>
      <c r="E28" s="138">
        <f>SUM(E26:E27)</f>
        <v>22997892</v>
      </c>
      <c r="F28" s="41"/>
      <c r="G28" s="33"/>
      <c r="H28" s="42">
        <v>15207717</v>
      </c>
      <c r="I28" s="43"/>
      <c r="J28" s="33"/>
      <c r="K28" s="44">
        <f>SUM(K26:K27)</f>
        <v>15022717</v>
      </c>
      <c r="L28" s="45"/>
    </row>
    <row r="29" spans="1:12" s="11" customFormat="1" x14ac:dyDescent="0.15">
      <c r="A29" s="46"/>
      <c r="B29" s="46"/>
      <c r="C29" s="46"/>
      <c r="D29" s="46"/>
      <c r="E29" s="46"/>
      <c r="F29" s="47"/>
      <c r="G29" s="24"/>
      <c r="H29" s="24"/>
      <c r="I29" s="24"/>
      <c r="J29" s="24"/>
      <c r="K29" s="24"/>
      <c r="L29" s="48"/>
    </row>
    <row r="30" spans="1:12" s="11" customFormat="1" x14ac:dyDescent="0.15">
      <c r="A30" s="49" t="s">
        <v>34</v>
      </c>
      <c r="B30" s="50"/>
      <c r="C30" s="50"/>
      <c r="D30" s="50"/>
      <c r="E30" s="50"/>
      <c r="F30" s="51"/>
      <c r="G30" s="24"/>
      <c r="H30" s="24"/>
      <c r="I30" s="24"/>
      <c r="J30" s="24"/>
      <c r="K30" s="24"/>
      <c r="L30" s="52"/>
    </row>
    <row r="31" spans="1:12" s="11" customFormat="1" ht="30" customHeight="1" x14ac:dyDescent="0.15">
      <c r="A31" s="53" t="str">
        <f>A4</f>
        <v>項　目</v>
      </c>
      <c r="B31" s="53" t="str">
        <f>B4</f>
        <v>勘 定 科 目</v>
      </c>
      <c r="C31" s="53" t="s">
        <v>165</v>
      </c>
      <c r="D31" s="53" t="s">
        <v>166</v>
      </c>
      <c r="E31" s="139" t="s">
        <v>167</v>
      </c>
      <c r="F31" s="54" t="str">
        <f>F4</f>
        <v>単価</v>
      </c>
      <c r="G31" s="54" t="str">
        <f>G4</f>
        <v>人員</v>
      </c>
      <c r="H31" s="9" t="str">
        <f>H4</f>
        <v>2020年　　　　　　　　　　　　　　　　　　補正後予算額</v>
      </c>
      <c r="I31" s="7" t="s">
        <v>4</v>
      </c>
      <c r="J31" s="8" t="s">
        <v>5</v>
      </c>
      <c r="K31" s="9" t="str">
        <f>K4</f>
        <v>2021年　　　　　　　　　　　　　　　　　　　予算額</v>
      </c>
      <c r="L31" s="10" t="s">
        <v>6</v>
      </c>
    </row>
    <row r="32" spans="1:12" s="11" customFormat="1" ht="13.9" customHeight="1" x14ac:dyDescent="0.15">
      <c r="A32" s="154" t="s">
        <v>35</v>
      </c>
      <c r="B32" s="55" t="s">
        <v>36</v>
      </c>
      <c r="C32" s="123">
        <v>1690</v>
      </c>
      <c r="D32" s="123"/>
      <c r="E32" s="123">
        <v>180830</v>
      </c>
      <c r="F32" s="14">
        <v>1621</v>
      </c>
      <c r="G32" s="35"/>
      <c r="H32" s="19">
        <v>162812</v>
      </c>
      <c r="I32" s="36">
        <v>1612</v>
      </c>
      <c r="J32" s="35">
        <v>90</v>
      </c>
      <c r="K32" s="19">
        <f>I32*J32</f>
        <v>145080</v>
      </c>
      <c r="L32" s="17" t="s">
        <v>156</v>
      </c>
    </row>
    <row r="33" spans="1:12" s="11" customFormat="1" ht="13.9" customHeight="1" x14ac:dyDescent="0.15">
      <c r="A33" s="155"/>
      <c r="B33" s="23" t="s">
        <v>37</v>
      </c>
      <c r="C33" s="140"/>
      <c r="D33" s="140"/>
      <c r="E33" s="140">
        <v>60000</v>
      </c>
      <c r="F33" s="57"/>
      <c r="G33" s="57"/>
      <c r="H33" s="19">
        <v>60000</v>
      </c>
      <c r="I33" s="34"/>
      <c r="J33" s="57"/>
      <c r="K33" s="19">
        <v>60000</v>
      </c>
      <c r="L33" s="17" t="s">
        <v>150</v>
      </c>
    </row>
    <row r="34" spans="1:12" s="11" customFormat="1" ht="13.9" customHeight="1" x14ac:dyDescent="0.15">
      <c r="A34" s="155"/>
      <c r="B34" s="26" t="s">
        <v>38</v>
      </c>
      <c r="C34" s="125">
        <v>5000</v>
      </c>
      <c r="D34" s="125"/>
      <c r="E34" s="125">
        <v>535000</v>
      </c>
      <c r="F34" s="25">
        <v>5000</v>
      </c>
      <c r="G34" s="57"/>
      <c r="H34" s="19">
        <v>505000</v>
      </c>
      <c r="I34" s="25">
        <v>5000</v>
      </c>
      <c r="J34" s="57">
        <v>90</v>
      </c>
      <c r="K34" s="19">
        <f>I34*J34</f>
        <v>450000</v>
      </c>
      <c r="L34" s="17"/>
    </row>
    <row r="35" spans="1:12" s="11" customFormat="1" ht="13.9" customHeight="1" x14ac:dyDescent="0.15">
      <c r="A35" s="155"/>
      <c r="B35" s="26" t="s">
        <v>39</v>
      </c>
      <c r="C35" s="125">
        <v>1825</v>
      </c>
      <c r="D35" s="125"/>
      <c r="E35" s="125">
        <v>195275</v>
      </c>
      <c r="F35" s="25">
        <v>1825</v>
      </c>
      <c r="G35" s="57"/>
      <c r="H35" s="19">
        <v>184325</v>
      </c>
      <c r="I35" s="25">
        <v>1825</v>
      </c>
      <c r="J35" s="57">
        <v>90</v>
      </c>
      <c r="K35" s="19">
        <f t="shared" ref="K35:K40" si="0">I35*J35</f>
        <v>164250</v>
      </c>
      <c r="L35" s="17"/>
    </row>
    <row r="36" spans="1:12" s="11" customFormat="1" ht="13.9" customHeight="1" x14ac:dyDescent="0.15">
      <c r="A36" s="155"/>
      <c r="B36" s="26" t="s">
        <v>40</v>
      </c>
      <c r="C36" s="125">
        <v>3000</v>
      </c>
      <c r="D36" s="125"/>
      <c r="E36" s="125">
        <v>321000</v>
      </c>
      <c r="F36" s="25">
        <v>3000</v>
      </c>
      <c r="G36" s="57"/>
      <c r="H36" s="19">
        <v>303000</v>
      </c>
      <c r="I36" s="25">
        <v>3000</v>
      </c>
      <c r="J36" s="57">
        <v>90</v>
      </c>
      <c r="K36" s="19">
        <f t="shared" si="0"/>
        <v>270000</v>
      </c>
      <c r="L36" s="17"/>
    </row>
    <row r="37" spans="1:12" s="11" customFormat="1" ht="13.9" customHeight="1" x14ac:dyDescent="0.15">
      <c r="A37" s="155"/>
      <c r="B37" s="26" t="s">
        <v>41</v>
      </c>
      <c r="C37" s="125">
        <v>4000</v>
      </c>
      <c r="D37" s="125"/>
      <c r="E37" s="125">
        <v>428000</v>
      </c>
      <c r="F37" s="25">
        <v>4000</v>
      </c>
      <c r="G37" s="57"/>
      <c r="H37" s="19">
        <v>404000</v>
      </c>
      <c r="I37" s="25">
        <v>4000</v>
      </c>
      <c r="J37" s="57">
        <v>90</v>
      </c>
      <c r="K37" s="19">
        <f t="shared" si="0"/>
        <v>360000</v>
      </c>
      <c r="L37" s="20" t="s">
        <v>42</v>
      </c>
    </row>
    <row r="38" spans="1:12" s="11" customFormat="1" ht="13.9" customHeight="1" x14ac:dyDescent="0.15">
      <c r="A38" s="155"/>
      <c r="B38" s="26" t="s">
        <v>43</v>
      </c>
      <c r="C38" s="125"/>
      <c r="D38" s="125"/>
      <c r="E38" s="125">
        <v>30000</v>
      </c>
      <c r="F38" s="25"/>
      <c r="G38" s="57"/>
      <c r="H38" s="19">
        <v>0</v>
      </c>
      <c r="I38" s="25"/>
      <c r="J38" s="57"/>
      <c r="K38" s="19">
        <v>30000</v>
      </c>
      <c r="L38" s="17"/>
    </row>
    <row r="39" spans="1:12" s="11" customFormat="1" ht="13.9" customHeight="1" x14ac:dyDescent="0.15">
      <c r="A39" s="155"/>
      <c r="B39" s="26" t="s">
        <v>44</v>
      </c>
      <c r="C39" s="125">
        <v>3500</v>
      </c>
      <c r="D39" s="125"/>
      <c r="E39" s="125">
        <v>374500</v>
      </c>
      <c r="F39" s="25">
        <v>3500</v>
      </c>
      <c r="G39" s="57"/>
      <c r="H39" s="19">
        <v>353500</v>
      </c>
      <c r="I39" s="25">
        <v>3500</v>
      </c>
      <c r="J39" s="57">
        <v>90</v>
      </c>
      <c r="K39" s="19">
        <f t="shared" si="0"/>
        <v>315000</v>
      </c>
      <c r="L39" s="17"/>
    </row>
    <row r="40" spans="1:12" s="11" customFormat="1" ht="13.9" customHeight="1" x14ac:dyDescent="0.15">
      <c r="A40" s="155"/>
      <c r="B40" s="26" t="s">
        <v>45</v>
      </c>
      <c r="C40" s="125">
        <v>20000</v>
      </c>
      <c r="D40" s="125">
        <v>8</v>
      </c>
      <c r="E40" s="125">
        <v>160000</v>
      </c>
      <c r="F40" s="25">
        <v>20000</v>
      </c>
      <c r="G40" s="57">
        <v>4</v>
      </c>
      <c r="H40" s="19">
        <v>80000</v>
      </c>
      <c r="I40" s="25">
        <v>20000</v>
      </c>
      <c r="J40" s="57">
        <v>4</v>
      </c>
      <c r="K40" s="19">
        <f t="shared" si="0"/>
        <v>80000</v>
      </c>
      <c r="L40" s="17"/>
    </row>
    <row r="41" spans="1:12" s="11" customFormat="1" ht="13.9" customHeight="1" x14ac:dyDescent="0.15">
      <c r="A41" s="155"/>
      <c r="B41" s="26" t="s">
        <v>46</v>
      </c>
      <c r="C41" s="125"/>
      <c r="D41" s="125"/>
      <c r="E41" s="125"/>
      <c r="F41" s="25"/>
      <c r="G41" s="57"/>
      <c r="H41" s="19">
        <v>0</v>
      </c>
      <c r="I41" s="34"/>
      <c r="J41" s="57"/>
      <c r="K41" s="19"/>
      <c r="L41" s="17"/>
    </row>
    <row r="42" spans="1:12" s="11" customFormat="1" ht="13.9" customHeight="1" x14ac:dyDescent="0.15">
      <c r="A42" s="155"/>
      <c r="B42" s="26" t="s">
        <v>47</v>
      </c>
      <c r="C42" s="125">
        <v>10000</v>
      </c>
      <c r="D42" s="125">
        <v>23</v>
      </c>
      <c r="E42" s="125">
        <v>230000</v>
      </c>
      <c r="F42" s="33">
        <v>10000</v>
      </c>
      <c r="G42" s="57">
        <v>15</v>
      </c>
      <c r="H42" s="19">
        <v>150000</v>
      </c>
      <c r="I42" s="43">
        <v>10000</v>
      </c>
      <c r="J42" s="57">
        <v>12</v>
      </c>
      <c r="K42" s="19">
        <f>I42*J42</f>
        <v>120000</v>
      </c>
      <c r="L42" s="17"/>
    </row>
    <row r="43" spans="1:12" s="11" customFormat="1" ht="16.899999999999999" customHeight="1" x14ac:dyDescent="0.15">
      <c r="A43" s="156"/>
      <c r="B43" s="58" t="s">
        <v>48</v>
      </c>
      <c r="C43" s="58"/>
      <c r="D43" s="58"/>
      <c r="E43" s="141">
        <f>SUM(E32:E42)</f>
        <v>2514605</v>
      </c>
      <c r="F43" s="59"/>
      <c r="G43" s="39"/>
      <c r="H43" s="60">
        <f>SUM(H32:H42)</f>
        <v>2202637</v>
      </c>
      <c r="I43" s="40"/>
      <c r="J43" s="38"/>
      <c r="K43" s="61">
        <f>SUM(K32:K42)</f>
        <v>1994330</v>
      </c>
      <c r="L43" s="17"/>
    </row>
    <row r="44" spans="1:12" s="11" customFormat="1" ht="13.9" customHeight="1" x14ac:dyDescent="0.15">
      <c r="A44" s="154" t="s">
        <v>49</v>
      </c>
      <c r="B44" s="75" t="s">
        <v>50</v>
      </c>
      <c r="C44" s="142"/>
      <c r="D44" s="142"/>
      <c r="E44" s="142">
        <v>1550000</v>
      </c>
      <c r="F44" s="57"/>
      <c r="G44" s="57"/>
      <c r="H44" s="19">
        <v>1550000</v>
      </c>
      <c r="I44" s="34"/>
      <c r="J44" s="57"/>
      <c r="K44" s="153">
        <v>1680000</v>
      </c>
      <c r="L44" s="64" t="s">
        <v>178</v>
      </c>
    </row>
    <row r="45" spans="1:12" s="11" customFormat="1" ht="13.9" customHeight="1" x14ac:dyDescent="0.15">
      <c r="A45" s="155"/>
      <c r="B45" s="30" t="s">
        <v>51</v>
      </c>
      <c r="C45" s="142"/>
      <c r="D45" s="142"/>
      <c r="E45" s="142">
        <v>20000</v>
      </c>
      <c r="F45" s="57"/>
      <c r="G45" s="57"/>
      <c r="H45" s="19">
        <v>20000</v>
      </c>
      <c r="I45" s="34"/>
      <c r="J45" s="57"/>
      <c r="K45" s="19">
        <v>20000</v>
      </c>
      <c r="L45" s="64" t="s">
        <v>122</v>
      </c>
    </row>
    <row r="46" spans="1:12" s="11" customFormat="1" ht="13.9" customHeight="1" x14ac:dyDescent="0.15">
      <c r="A46" s="155"/>
      <c r="B46" s="30" t="s">
        <v>52</v>
      </c>
      <c r="C46" s="142"/>
      <c r="D46" s="142"/>
      <c r="E46" s="142">
        <v>600000</v>
      </c>
      <c r="F46" s="57"/>
      <c r="G46" s="57"/>
      <c r="H46" s="19">
        <v>500000</v>
      </c>
      <c r="I46" s="34"/>
      <c r="J46" s="57"/>
      <c r="K46" s="79">
        <v>500000</v>
      </c>
      <c r="L46" s="17" t="s">
        <v>140</v>
      </c>
    </row>
    <row r="47" spans="1:12" s="11" customFormat="1" ht="13.9" customHeight="1" x14ac:dyDescent="0.15">
      <c r="A47" s="155"/>
      <c r="B47" s="30" t="s">
        <v>53</v>
      </c>
      <c r="C47" s="142"/>
      <c r="D47" s="142"/>
      <c r="E47" s="142">
        <v>250000</v>
      </c>
      <c r="F47" s="57"/>
      <c r="G47" s="57"/>
      <c r="H47" s="19">
        <v>112560</v>
      </c>
      <c r="I47" s="34"/>
      <c r="J47" s="57"/>
      <c r="K47" s="79">
        <v>112560</v>
      </c>
      <c r="L47" s="17" t="s">
        <v>54</v>
      </c>
    </row>
    <row r="48" spans="1:12" s="11" customFormat="1" ht="13.9" customHeight="1" x14ac:dyDescent="0.15">
      <c r="A48" s="155"/>
      <c r="B48" s="30" t="s">
        <v>55</v>
      </c>
      <c r="C48" s="142"/>
      <c r="D48" s="142"/>
      <c r="E48" s="142">
        <v>1550000</v>
      </c>
      <c r="F48" s="57"/>
      <c r="G48" s="57"/>
      <c r="H48" s="19">
        <v>1550000</v>
      </c>
      <c r="I48" s="34"/>
      <c r="J48" s="57"/>
      <c r="K48" s="19">
        <v>1550000</v>
      </c>
      <c r="L48" s="20" t="s">
        <v>124</v>
      </c>
    </row>
    <row r="49" spans="1:12" s="11" customFormat="1" ht="13.9" customHeight="1" x14ac:dyDescent="0.15">
      <c r="A49" s="155"/>
      <c r="B49" s="30" t="s">
        <v>56</v>
      </c>
      <c r="C49" s="142"/>
      <c r="D49" s="142"/>
      <c r="E49" s="142">
        <v>580000</v>
      </c>
      <c r="F49" s="57"/>
      <c r="G49" s="57"/>
      <c r="H49" s="19">
        <v>450000</v>
      </c>
      <c r="I49" s="34"/>
      <c r="J49" s="57"/>
      <c r="K49" s="79">
        <v>450000</v>
      </c>
      <c r="L49" s="20" t="s">
        <v>57</v>
      </c>
    </row>
    <row r="50" spans="1:12" s="11" customFormat="1" ht="13.9" customHeight="1" x14ac:dyDescent="0.15">
      <c r="A50" s="155"/>
      <c r="B50" s="30" t="s">
        <v>58</v>
      </c>
      <c r="C50" s="142"/>
      <c r="D50" s="142"/>
      <c r="E50" s="142">
        <v>650000</v>
      </c>
      <c r="F50" s="57"/>
      <c r="G50" s="57"/>
      <c r="H50" s="19">
        <v>650000</v>
      </c>
      <c r="I50" s="34"/>
      <c r="J50" s="57"/>
      <c r="K50" s="19">
        <v>650000</v>
      </c>
      <c r="L50" s="17" t="s">
        <v>125</v>
      </c>
    </row>
    <row r="51" spans="1:12" s="11" customFormat="1" ht="13.9" customHeight="1" x14ac:dyDescent="0.15">
      <c r="A51" s="155"/>
      <c r="B51" s="30" t="s">
        <v>59</v>
      </c>
      <c r="C51" s="142"/>
      <c r="D51" s="142"/>
      <c r="E51" s="142">
        <v>80000</v>
      </c>
      <c r="F51" s="57"/>
      <c r="G51" s="57"/>
      <c r="H51" s="19">
        <v>80000</v>
      </c>
      <c r="I51" s="34"/>
      <c r="J51" s="57"/>
      <c r="K51" s="19">
        <v>80000</v>
      </c>
      <c r="L51" s="17" t="s">
        <v>117</v>
      </c>
    </row>
    <row r="52" spans="1:12" s="11" customFormat="1" ht="13.9" customHeight="1" x14ac:dyDescent="0.15">
      <c r="A52" s="155"/>
      <c r="B52" s="30" t="s">
        <v>60</v>
      </c>
      <c r="C52" s="142"/>
      <c r="D52" s="142"/>
      <c r="E52" s="142">
        <v>94920</v>
      </c>
      <c r="F52" s="57"/>
      <c r="G52" s="57"/>
      <c r="H52" s="19">
        <v>94920</v>
      </c>
      <c r="I52" s="34"/>
      <c r="J52" s="57"/>
      <c r="K52" s="19">
        <v>94920</v>
      </c>
      <c r="L52" s="17" t="s">
        <v>61</v>
      </c>
    </row>
    <row r="53" spans="1:12" s="11" customFormat="1" ht="13.9" customHeight="1" x14ac:dyDescent="0.15">
      <c r="A53" s="155"/>
      <c r="B53" s="30" t="s">
        <v>62</v>
      </c>
      <c r="C53" s="142"/>
      <c r="D53" s="142"/>
      <c r="E53" s="142">
        <v>35000</v>
      </c>
      <c r="F53" s="57"/>
      <c r="G53" s="57"/>
      <c r="H53" s="19">
        <v>35000</v>
      </c>
      <c r="I53" s="34"/>
      <c r="J53" s="57"/>
      <c r="K53" s="19">
        <v>35000</v>
      </c>
      <c r="L53" s="17" t="s">
        <v>123</v>
      </c>
    </row>
    <row r="54" spans="1:12" s="11" customFormat="1" ht="13.9" customHeight="1" x14ac:dyDescent="0.15">
      <c r="A54" s="155"/>
      <c r="B54" s="32" t="s">
        <v>63</v>
      </c>
      <c r="C54" s="142"/>
      <c r="D54" s="142"/>
      <c r="E54" s="142">
        <v>81000</v>
      </c>
      <c r="F54" s="57"/>
      <c r="G54" s="57"/>
      <c r="H54" s="19">
        <v>81000</v>
      </c>
      <c r="I54" s="34"/>
      <c r="J54" s="57"/>
      <c r="K54" s="19">
        <v>81000</v>
      </c>
      <c r="L54" s="20" t="s">
        <v>64</v>
      </c>
    </row>
    <row r="55" spans="1:12" s="11" customFormat="1" ht="16.899999999999999" customHeight="1" x14ac:dyDescent="0.15">
      <c r="A55" s="156"/>
      <c r="B55" s="58" t="s">
        <v>65</v>
      </c>
      <c r="C55" s="141"/>
      <c r="D55" s="141"/>
      <c r="E55" s="141">
        <f>SUM(E44:E54)</f>
        <v>5490920</v>
      </c>
      <c r="F55" s="59"/>
      <c r="G55" s="39"/>
      <c r="H55" s="60">
        <f>SUM(H44:H54)</f>
        <v>5123480</v>
      </c>
      <c r="I55" s="40"/>
      <c r="J55" s="38"/>
      <c r="K55" s="61">
        <f>SUM(K44:K54)</f>
        <v>5253480</v>
      </c>
      <c r="L55" s="17"/>
    </row>
    <row r="56" spans="1:12" s="11" customFormat="1" ht="13.9" customHeight="1" x14ac:dyDescent="0.15">
      <c r="A56" s="154" t="s">
        <v>66</v>
      </c>
      <c r="B56" s="62" t="s">
        <v>66</v>
      </c>
      <c r="C56" s="127"/>
      <c r="D56" s="127"/>
      <c r="E56" s="127">
        <v>100000</v>
      </c>
      <c r="F56" s="14"/>
      <c r="G56" s="14"/>
      <c r="H56" s="37">
        <v>100000</v>
      </c>
      <c r="I56" s="36"/>
      <c r="J56" s="35"/>
      <c r="K56" s="37">
        <v>100000</v>
      </c>
      <c r="L56" s="17" t="s">
        <v>67</v>
      </c>
    </row>
    <row r="57" spans="1:12" s="11" customFormat="1" ht="13.9" customHeight="1" x14ac:dyDescent="0.15">
      <c r="A57" s="155"/>
      <c r="B57" s="62" t="s">
        <v>68</v>
      </c>
      <c r="C57" s="127"/>
      <c r="D57" s="127"/>
      <c r="E57" s="127">
        <v>234576</v>
      </c>
      <c r="F57" s="16"/>
      <c r="G57" s="25"/>
      <c r="H57" s="56">
        <v>238920</v>
      </c>
      <c r="I57" s="34"/>
      <c r="J57" s="57"/>
      <c r="K57" s="56">
        <v>238920</v>
      </c>
      <c r="L57" s="17" t="s">
        <v>69</v>
      </c>
    </row>
    <row r="58" spans="1:12" s="11" customFormat="1" ht="13.9" customHeight="1" x14ac:dyDescent="0.15">
      <c r="A58" s="155"/>
      <c r="B58" s="62" t="s">
        <v>70</v>
      </c>
      <c r="C58" s="127"/>
      <c r="D58" s="127"/>
      <c r="E58" s="127">
        <v>280000</v>
      </c>
      <c r="F58" s="16"/>
      <c r="G58" s="25"/>
      <c r="H58" s="56">
        <v>380000</v>
      </c>
      <c r="I58" s="43"/>
      <c r="J58" s="57"/>
      <c r="K58" s="56">
        <v>280000</v>
      </c>
      <c r="L58" s="17" t="s">
        <v>162</v>
      </c>
    </row>
    <row r="59" spans="1:12" s="11" customFormat="1" ht="16.899999999999999" customHeight="1" x14ac:dyDescent="0.15">
      <c r="A59" s="156"/>
      <c r="B59" s="58" t="s">
        <v>71</v>
      </c>
      <c r="C59" s="141"/>
      <c r="D59" s="141"/>
      <c r="E59" s="141">
        <f>SUM(E56:E58)</f>
        <v>614576</v>
      </c>
      <c r="F59" s="59"/>
      <c r="G59" s="39"/>
      <c r="H59" s="60">
        <f>SUM(H56:H58)</f>
        <v>718920</v>
      </c>
      <c r="I59" s="44"/>
      <c r="J59" s="39"/>
      <c r="K59" s="61">
        <f>SUM(K56:K58)</f>
        <v>618920</v>
      </c>
      <c r="L59" s="17"/>
    </row>
    <row r="60" spans="1:12" s="11" customFormat="1" ht="13.9" customHeight="1" x14ac:dyDescent="0.15">
      <c r="A60" s="162" t="s">
        <v>72</v>
      </c>
      <c r="B60" s="65" t="s">
        <v>73</v>
      </c>
      <c r="C60" s="143"/>
      <c r="D60" s="143"/>
      <c r="E60" s="143">
        <v>216000</v>
      </c>
      <c r="F60" s="59"/>
      <c r="G60" s="39"/>
      <c r="H60" s="60">
        <v>220000</v>
      </c>
      <c r="I60" s="36"/>
      <c r="J60" s="57"/>
      <c r="K60" s="19">
        <v>220000</v>
      </c>
      <c r="L60" s="17"/>
    </row>
    <row r="61" spans="1:12" s="11" customFormat="1" ht="16.899999999999999" customHeight="1" x14ac:dyDescent="0.15">
      <c r="A61" s="163"/>
      <c r="B61" s="58" t="s">
        <v>74</v>
      </c>
      <c r="C61" s="141"/>
      <c r="D61" s="141"/>
      <c r="E61" s="141">
        <f>SUM(E60)</f>
        <v>216000</v>
      </c>
      <c r="F61" s="59"/>
      <c r="G61" s="39"/>
      <c r="H61" s="60">
        <f>SUM(H60)</f>
        <v>220000</v>
      </c>
      <c r="I61" s="40"/>
      <c r="J61" s="38"/>
      <c r="K61" s="61">
        <f>SUM(K60)</f>
        <v>220000</v>
      </c>
      <c r="L61" s="17" t="s">
        <v>119</v>
      </c>
    </row>
    <row r="62" spans="1:12" s="11" customFormat="1" ht="13.9" customHeight="1" x14ac:dyDescent="0.15">
      <c r="A62" s="162" t="s">
        <v>75</v>
      </c>
      <c r="B62" s="66" t="s">
        <v>76</v>
      </c>
      <c r="C62" s="144"/>
      <c r="D62" s="144"/>
      <c r="E62" s="144">
        <v>100000</v>
      </c>
      <c r="F62" s="59"/>
      <c r="G62" s="39"/>
      <c r="H62" s="60">
        <v>100000</v>
      </c>
      <c r="I62" s="34"/>
      <c r="J62" s="39"/>
      <c r="K62" s="19">
        <v>100000</v>
      </c>
      <c r="L62" s="17" t="s">
        <v>77</v>
      </c>
    </row>
    <row r="63" spans="1:12" s="11" customFormat="1" ht="16.899999999999999" customHeight="1" x14ac:dyDescent="0.15">
      <c r="A63" s="163"/>
      <c r="B63" s="58" t="s">
        <v>78</v>
      </c>
      <c r="C63" s="145"/>
      <c r="D63" s="145"/>
      <c r="E63" s="145">
        <f>SUM(E62)</f>
        <v>100000</v>
      </c>
      <c r="F63" s="67"/>
      <c r="G63" s="33"/>
      <c r="H63" s="68">
        <f>SUM(H62)</f>
        <v>100000</v>
      </c>
      <c r="I63" s="40"/>
      <c r="J63" s="41"/>
      <c r="K63" s="61">
        <f>SUM(K62)</f>
        <v>100000</v>
      </c>
      <c r="L63" s="17"/>
    </row>
    <row r="64" spans="1:12" s="11" customFormat="1" ht="13.9" customHeight="1" x14ac:dyDescent="0.15">
      <c r="A64" s="154" t="s">
        <v>79</v>
      </c>
      <c r="B64" s="62" t="s">
        <v>80</v>
      </c>
      <c r="C64" s="127"/>
      <c r="D64" s="127"/>
      <c r="E64" s="127">
        <v>494680</v>
      </c>
      <c r="F64" s="16"/>
      <c r="G64" s="25"/>
      <c r="H64" s="19">
        <v>494680</v>
      </c>
      <c r="I64" s="34"/>
      <c r="J64" s="57"/>
      <c r="K64" s="19">
        <v>494680</v>
      </c>
      <c r="L64" s="17" t="s">
        <v>81</v>
      </c>
    </row>
    <row r="65" spans="1:12" s="11" customFormat="1" ht="13.9" customHeight="1" x14ac:dyDescent="0.15">
      <c r="A65" s="155"/>
      <c r="B65" s="62" t="s">
        <v>82</v>
      </c>
      <c r="C65" s="127"/>
      <c r="D65" s="127"/>
      <c r="E65" s="127">
        <v>470000</v>
      </c>
      <c r="F65" s="16"/>
      <c r="G65" s="25"/>
      <c r="H65" s="19">
        <v>470000</v>
      </c>
      <c r="I65" s="34"/>
      <c r="J65" s="57"/>
      <c r="K65" s="153">
        <v>550000</v>
      </c>
      <c r="L65" s="20" t="s">
        <v>179</v>
      </c>
    </row>
    <row r="66" spans="1:12" s="11" customFormat="1" ht="16.899999999999999" customHeight="1" x14ac:dyDescent="0.15">
      <c r="A66" s="156"/>
      <c r="B66" s="58" t="s">
        <v>83</v>
      </c>
      <c r="C66" s="141"/>
      <c r="D66" s="141"/>
      <c r="E66" s="141">
        <f>SUM(E64:E65)</f>
        <v>964680</v>
      </c>
      <c r="F66" s="59"/>
      <c r="G66" s="39"/>
      <c r="H66" s="60">
        <f>SUM(H64:H65)</f>
        <v>964680</v>
      </c>
      <c r="I66" s="40"/>
      <c r="J66" s="38"/>
      <c r="K66" s="61">
        <f>SUM(K64:K65)</f>
        <v>1044680</v>
      </c>
      <c r="L66" s="17"/>
    </row>
    <row r="67" spans="1:12" s="11" customFormat="1" ht="13.9" customHeight="1" x14ac:dyDescent="0.15">
      <c r="A67" s="154" t="s">
        <v>84</v>
      </c>
      <c r="B67" s="62" t="s">
        <v>84</v>
      </c>
      <c r="C67" s="127"/>
      <c r="D67" s="127"/>
      <c r="E67" s="127">
        <v>250000</v>
      </c>
      <c r="F67" s="13"/>
      <c r="G67" s="14"/>
      <c r="H67" s="19">
        <v>150000</v>
      </c>
      <c r="I67" s="34"/>
      <c r="J67" s="57"/>
      <c r="K67" s="153">
        <v>300000</v>
      </c>
      <c r="L67" s="17" t="s">
        <v>85</v>
      </c>
    </row>
    <row r="68" spans="1:12" s="11" customFormat="1" ht="13.9" customHeight="1" x14ac:dyDescent="0.15">
      <c r="A68" s="155"/>
      <c r="B68" s="62" t="s">
        <v>86</v>
      </c>
      <c r="C68" s="127"/>
      <c r="D68" s="127"/>
      <c r="E68" s="127">
        <v>120000</v>
      </c>
      <c r="F68" s="25"/>
      <c r="G68" s="25"/>
      <c r="H68" s="19">
        <v>120000</v>
      </c>
      <c r="I68" s="34"/>
      <c r="J68" s="57"/>
      <c r="K68" s="19">
        <v>120000</v>
      </c>
      <c r="L68" s="17" t="s">
        <v>135</v>
      </c>
    </row>
    <row r="69" spans="1:12" s="11" customFormat="1" ht="13.9" customHeight="1" x14ac:dyDescent="0.15">
      <c r="A69" s="155"/>
      <c r="B69" s="62" t="s">
        <v>87</v>
      </c>
      <c r="C69" s="127"/>
      <c r="D69" s="127"/>
      <c r="E69" s="127">
        <v>250000</v>
      </c>
      <c r="F69" s="25"/>
      <c r="G69" s="25"/>
      <c r="H69" s="19">
        <v>150000</v>
      </c>
      <c r="I69" s="34"/>
      <c r="J69" s="57"/>
      <c r="K69" s="19">
        <v>250000</v>
      </c>
      <c r="L69" s="17" t="s">
        <v>120</v>
      </c>
    </row>
    <row r="70" spans="1:12" s="11" customFormat="1" ht="13.9" customHeight="1" x14ac:dyDescent="0.15">
      <c r="A70" s="155"/>
      <c r="B70" s="62" t="s">
        <v>88</v>
      </c>
      <c r="C70" s="127"/>
      <c r="D70" s="127"/>
      <c r="E70" s="127">
        <v>40000</v>
      </c>
      <c r="F70" s="16"/>
      <c r="G70" s="25"/>
      <c r="H70" s="19">
        <v>40000</v>
      </c>
      <c r="I70" s="34"/>
      <c r="J70" s="57"/>
      <c r="K70" s="19">
        <v>40000</v>
      </c>
      <c r="L70" s="28" t="s">
        <v>89</v>
      </c>
    </row>
    <row r="71" spans="1:12" s="11" customFormat="1" ht="13.9" customHeight="1" x14ac:dyDescent="0.15">
      <c r="A71" s="155"/>
      <c r="B71" s="62" t="s">
        <v>90</v>
      </c>
      <c r="C71" s="127"/>
      <c r="D71" s="127"/>
      <c r="E71" s="127">
        <v>8000</v>
      </c>
      <c r="F71" s="16"/>
      <c r="G71" s="25"/>
      <c r="H71" s="19">
        <v>8000</v>
      </c>
      <c r="I71" s="34"/>
      <c r="J71" s="57"/>
      <c r="K71" s="79">
        <v>8000</v>
      </c>
      <c r="L71" s="17" t="s">
        <v>121</v>
      </c>
    </row>
    <row r="72" spans="1:12" s="11" customFormat="1" ht="16.899999999999999" customHeight="1" x14ac:dyDescent="0.15">
      <c r="A72" s="156"/>
      <c r="B72" s="58" t="s">
        <v>91</v>
      </c>
      <c r="C72" s="141"/>
      <c r="D72" s="141"/>
      <c r="E72" s="141">
        <f>SUM(E67:E71)</f>
        <v>668000</v>
      </c>
      <c r="F72" s="59"/>
      <c r="G72" s="39"/>
      <c r="H72" s="60">
        <f>SUM(H67:H71)</f>
        <v>468000</v>
      </c>
      <c r="I72" s="40"/>
      <c r="J72" s="38"/>
      <c r="K72" s="61">
        <f>SUM(K67:K71)</f>
        <v>718000</v>
      </c>
      <c r="L72" s="17"/>
    </row>
    <row r="73" spans="1:12" s="11" customFormat="1" ht="13.9" customHeight="1" x14ac:dyDescent="0.15">
      <c r="A73" s="164" t="s">
        <v>92</v>
      </c>
      <c r="B73" s="17" t="s">
        <v>93</v>
      </c>
      <c r="C73" s="128"/>
      <c r="D73" s="128"/>
      <c r="E73" s="128">
        <v>0</v>
      </c>
      <c r="F73" s="169" t="s">
        <v>168</v>
      </c>
      <c r="G73" s="170"/>
      <c r="H73" s="19">
        <v>0</v>
      </c>
      <c r="I73" s="36"/>
      <c r="J73" s="57"/>
      <c r="K73" s="153">
        <v>0</v>
      </c>
      <c r="L73" s="17" t="s">
        <v>93</v>
      </c>
    </row>
    <row r="74" spans="1:12" s="11" customFormat="1" ht="13.9" customHeight="1" x14ac:dyDescent="0.15">
      <c r="A74" s="165"/>
      <c r="B74" s="20" t="s">
        <v>127</v>
      </c>
      <c r="C74" s="146"/>
      <c r="D74" s="146"/>
      <c r="E74" s="146">
        <v>4155000</v>
      </c>
      <c r="F74" s="167" t="s">
        <v>169</v>
      </c>
      <c r="G74" s="168"/>
      <c r="H74" s="19">
        <v>150000</v>
      </c>
      <c r="I74" s="34"/>
      <c r="J74" s="57"/>
      <c r="K74" s="153">
        <v>800000</v>
      </c>
      <c r="L74" s="20" t="s">
        <v>174</v>
      </c>
    </row>
    <row r="75" spans="1:12" s="11" customFormat="1" ht="13.9" customHeight="1" x14ac:dyDescent="0.15">
      <c r="A75" s="165"/>
      <c r="B75" s="17" t="s">
        <v>113</v>
      </c>
      <c r="C75" s="128"/>
      <c r="D75" s="128"/>
      <c r="E75" s="128">
        <v>296000</v>
      </c>
      <c r="F75" s="167" t="s">
        <v>170</v>
      </c>
      <c r="G75" s="168"/>
      <c r="H75" s="19">
        <v>110000</v>
      </c>
      <c r="I75" s="34"/>
      <c r="J75" s="57"/>
      <c r="K75" s="153">
        <v>300000</v>
      </c>
      <c r="L75" s="17" t="s">
        <v>177</v>
      </c>
    </row>
    <row r="76" spans="1:12" s="11" customFormat="1" ht="13.9" customHeight="1" x14ac:dyDescent="0.15">
      <c r="A76" s="165"/>
      <c r="B76" s="17" t="s">
        <v>94</v>
      </c>
      <c r="C76" s="128"/>
      <c r="D76" s="128"/>
      <c r="E76" s="128">
        <v>1946000</v>
      </c>
      <c r="F76" s="167" t="s">
        <v>171</v>
      </c>
      <c r="G76" s="168"/>
      <c r="H76" s="19">
        <v>550000</v>
      </c>
      <c r="I76" s="34"/>
      <c r="J76" s="57"/>
      <c r="K76" s="153">
        <v>300000</v>
      </c>
      <c r="L76" s="17" t="s">
        <v>143</v>
      </c>
    </row>
    <row r="77" spans="1:12" s="11" customFormat="1" ht="13.9" customHeight="1" x14ac:dyDescent="0.15">
      <c r="A77" s="165"/>
      <c r="B77" s="17" t="s">
        <v>114</v>
      </c>
      <c r="C77" s="128"/>
      <c r="D77" s="128"/>
      <c r="E77" s="128">
        <v>280000</v>
      </c>
      <c r="F77" s="167" t="s">
        <v>172</v>
      </c>
      <c r="G77" s="168"/>
      <c r="H77" s="19">
        <v>305000</v>
      </c>
      <c r="I77" s="34"/>
      <c r="J77" s="57"/>
      <c r="K77" s="153">
        <v>300000</v>
      </c>
      <c r="L77" s="17" t="s">
        <v>175</v>
      </c>
    </row>
    <row r="78" spans="1:12" s="11" customFormat="1" ht="13.9" customHeight="1" x14ac:dyDescent="0.15">
      <c r="A78" s="165"/>
      <c r="B78" s="17" t="s">
        <v>115</v>
      </c>
      <c r="C78" s="128"/>
      <c r="D78" s="128"/>
      <c r="E78" s="128">
        <v>152000</v>
      </c>
      <c r="F78" s="167" t="s">
        <v>173</v>
      </c>
      <c r="G78" s="168"/>
      <c r="H78" s="19">
        <v>100000</v>
      </c>
      <c r="I78" s="34"/>
      <c r="J78" s="57"/>
      <c r="K78" s="153">
        <v>250000</v>
      </c>
      <c r="L78" s="17" t="s">
        <v>176</v>
      </c>
    </row>
    <row r="79" spans="1:12" s="11" customFormat="1" ht="13.9" customHeight="1" x14ac:dyDescent="0.15">
      <c r="A79" s="165"/>
      <c r="B79" s="20" t="s">
        <v>137</v>
      </c>
      <c r="C79" s="146"/>
      <c r="D79" s="146"/>
      <c r="E79" s="146">
        <v>510500</v>
      </c>
      <c r="F79" s="152"/>
      <c r="G79" s="25"/>
      <c r="H79" s="19"/>
      <c r="I79" s="34"/>
      <c r="J79" s="57"/>
      <c r="K79" s="153"/>
      <c r="L79" s="20"/>
    </row>
    <row r="80" spans="1:12" s="11" customFormat="1" ht="13.9" customHeight="1" x14ac:dyDescent="0.15">
      <c r="A80" s="165"/>
      <c r="B80" s="20" t="s">
        <v>116</v>
      </c>
      <c r="C80" s="146"/>
      <c r="D80" s="146"/>
      <c r="E80" s="146">
        <v>335000</v>
      </c>
      <c r="F80" s="151"/>
      <c r="G80" s="25"/>
      <c r="H80" s="19"/>
      <c r="I80" s="34"/>
      <c r="J80" s="57"/>
      <c r="K80" s="153"/>
      <c r="L80" s="20"/>
    </row>
    <row r="81" spans="1:12" s="11" customFormat="1" ht="16.899999999999999" customHeight="1" x14ac:dyDescent="0.15">
      <c r="A81" s="156"/>
      <c r="B81" s="73" t="s">
        <v>95</v>
      </c>
      <c r="C81" s="141"/>
      <c r="D81" s="141"/>
      <c r="E81" s="141">
        <f>SUM(E73:E80)</f>
        <v>7674500</v>
      </c>
      <c r="F81" s="59"/>
      <c r="G81" s="39"/>
      <c r="H81" s="60">
        <f>SUM(H73:H80)</f>
        <v>1215000</v>
      </c>
      <c r="I81" s="40"/>
      <c r="J81" s="38"/>
      <c r="K81" s="61">
        <f>SUM(K73:K80)</f>
        <v>1950000</v>
      </c>
      <c r="L81" s="17"/>
    </row>
    <row r="82" spans="1:12" s="11" customFormat="1" ht="13.9" customHeight="1" x14ac:dyDescent="0.15">
      <c r="A82" s="154" t="s">
        <v>96</v>
      </c>
      <c r="B82" s="62" t="s">
        <v>97</v>
      </c>
      <c r="C82" s="127">
        <v>3000</v>
      </c>
      <c r="D82" s="127">
        <v>94</v>
      </c>
      <c r="E82" s="127">
        <v>282000</v>
      </c>
      <c r="F82" s="16"/>
      <c r="G82" s="25"/>
      <c r="H82" s="56">
        <v>0</v>
      </c>
      <c r="I82" s="34">
        <v>3000</v>
      </c>
      <c r="J82" s="57">
        <v>90</v>
      </c>
      <c r="K82" s="19">
        <f>I82*J82</f>
        <v>270000</v>
      </c>
      <c r="L82" s="17"/>
    </row>
    <row r="83" spans="1:12" s="11" customFormat="1" ht="13.9" customHeight="1" x14ac:dyDescent="0.15">
      <c r="A83" s="155"/>
      <c r="B83" s="62" t="s">
        <v>98</v>
      </c>
      <c r="C83" s="127"/>
      <c r="D83" s="127"/>
      <c r="E83" s="127">
        <v>0</v>
      </c>
      <c r="F83" s="16"/>
      <c r="G83" s="25"/>
      <c r="H83" s="56">
        <v>0</v>
      </c>
      <c r="I83" s="34"/>
      <c r="J83" s="57"/>
      <c r="K83" s="19">
        <v>0</v>
      </c>
      <c r="L83" s="17"/>
    </row>
    <row r="84" spans="1:12" s="11" customFormat="1" ht="13.9" customHeight="1" x14ac:dyDescent="0.15">
      <c r="A84" s="155"/>
      <c r="B84" s="62" t="s">
        <v>99</v>
      </c>
      <c r="C84" s="127"/>
      <c r="D84" s="127"/>
      <c r="E84" s="127">
        <v>0</v>
      </c>
      <c r="F84" s="16"/>
      <c r="G84" s="25"/>
      <c r="H84" s="56">
        <v>0</v>
      </c>
      <c r="I84" s="34"/>
      <c r="J84" s="57"/>
      <c r="K84" s="19">
        <v>0</v>
      </c>
      <c r="L84" s="17" t="s">
        <v>100</v>
      </c>
    </row>
    <row r="85" spans="1:12" s="11" customFormat="1" ht="13.9" customHeight="1" x14ac:dyDescent="0.15">
      <c r="A85" s="155"/>
      <c r="B85" s="62" t="s">
        <v>101</v>
      </c>
      <c r="C85" s="127"/>
      <c r="D85" s="127"/>
      <c r="E85" s="127">
        <v>8000</v>
      </c>
      <c r="F85" s="16"/>
      <c r="G85" s="25"/>
      <c r="H85" s="56">
        <v>8000</v>
      </c>
      <c r="I85" s="34"/>
      <c r="J85" s="57"/>
      <c r="K85" s="19">
        <v>8000</v>
      </c>
      <c r="L85" s="17" t="s">
        <v>102</v>
      </c>
    </row>
    <row r="86" spans="1:12" s="11" customFormat="1" ht="16.899999999999999" customHeight="1" x14ac:dyDescent="0.15">
      <c r="A86" s="156"/>
      <c r="B86" s="58" t="s">
        <v>103</v>
      </c>
      <c r="C86" s="141"/>
      <c r="D86" s="141"/>
      <c r="E86" s="141">
        <f>SUM(E82:E85)</f>
        <v>290000</v>
      </c>
      <c r="F86" s="59"/>
      <c r="G86" s="59"/>
      <c r="H86" s="61">
        <f>SUM(H82:H85)</f>
        <v>8000</v>
      </c>
      <c r="I86" s="40"/>
      <c r="J86" s="38"/>
      <c r="K86" s="61">
        <f>SUM(K82:K85)</f>
        <v>278000</v>
      </c>
      <c r="L86" s="17"/>
    </row>
    <row r="87" spans="1:12" s="11" customFormat="1" ht="16.899999999999999" customHeight="1" x14ac:dyDescent="0.15">
      <c r="A87" s="154" t="s">
        <v>132</v>
      </c>
      <c r="B87" s="76" t="s">
        <v>133</v>
      </c>
      <c r="C87" s="147"/>
      <c r="D87" s="147"/>
      <c r="E87" s="149">
        <v>2110000</v>
      </c>
      <c r="F87" s="13"/>
      <c r="G87" s="13"/>
      <c r="H87" s="15"/>
      <c r="I87" s="36"/>
      <c r="J87" s="35"/>
      <c r="K87" s="15"/>
      <c r="L87" s="17"/>
    </row>
    <row r="88" spans="1:12" s="11" customFormat="1" ht="16.899999999999999" customHeight="1" x14ac:dyDescent="0.15">
      <c r="A88" s="156"/>
      <c r="B88" s="58" t="s">
        <v>134</v>
      </c>
      <c r="C88" s="148"/>
      <c r="D88" s="148"/>
      <c r="E88" s="148">
        <f>SUM(E87)</f>
        <v>2110000</v>
      </c>
      <c r="F88" s="13"/>
      <c r="G88" s="13"/>
      <c r="H88" s="15">
        <f>H87</f>
        <v>0</v>
      </c>
      <c r="I88" s="36"/>
      <c r="J88" s="35"/>
      <c r="K88" s="15">
        <f>K87</f>
        <v>0</v>
      </c>
      <c r="L88" s="17"/>
    </row>
    <row r="89" spans="1:12" s="11" customFormat="1" ht="13.9" customHeight="1" x14ac:dyDescent="0.15">
      <c r="A89" s="69" t="s">
        <v>104</v>
      </c>
      <c r="B89" s="65" t="s">
        <v>105</v>
      </c>
      <c r="C89" s="143"/>
      <c r="D89" s="143"/>
      <c r="E89" s="143"/>
      <c r="F89" s="13"/>
      <c r="G89" s="13"/>
      <c r="H89" s="15">
        <v>0</v>
      </c>
      <c r="I89" s="36"/>
      <c r="J89" s="35"/>
      <c r="K89" s="15">
        <v>0</v>
      </c>
      <c r="L89" s="17"/>
    </row>
    <row r="90" spans="1:12" s="11" customFormat="1" ht="13.9" customHeight="1" x14ac:dyDescent="0.15">
      <c r="A90" s="70"/>
      <c r="B90" s="32" t="s">
        <v>106</v>
      </c>
      <c r="C90" s="129"/>
      <c r="D90" s="129"/>
      <c r="E90" s="129">
        <v>1030000</v>
      </c>
      <c r="F90" s="33"/>
      <c r="G90" s="33"/>
      <c r="H90" s="42"/>
      <c r="I90" s="43"/>
      <c r="J90" s="41"/>
      <c r="K90" s="80">
        <v>0</v>
      </c>
      <c r="L90" s="78" t="s">
        <v>146</v>
      </c>
    </row>
    <row r="91" spans="1:12" s="11" customFormat="1" ht="16.899999999999999" customHeight="1" x14ac:dyDescent="0.15">
      <c r="A91" s="161" t="s">
        <v>107</v>
      </c>
      <c r="B91" s="160"/>
      <c r="C91" s="141"/>
      <c r="D91" s="141"/>
      <c r="E91" s="141">
        <f>SUM(E43,E55,E59,E61,E63,E66,E72,E81,E86,E89,E90,E88)</f>
        <v>21673281</v>
      </c>
      <c r="F91" s="59"/>
      <c r="G91" s="59"/>
      <c r="H91" s="61">
        <f>SUM(H43,H55,H59,H61,H63,H66,H72,H81,H86,H89,H90,H88)</f>
        <v>11020717</v>
      </c>
      <c r="I91" s="40"/>
      <c r="J91" s="38"/>
      <c r="K91" s="61">
        <f>SUM(K43,K55,K59,K61,K63,K66,K72,K81,K86,K89,K90,K88)</f>
        <v>12177410</v>
      </c>
      <c r="L91" s="17"/>
    </row>
    <row r="92" spans="1:12" s="11" customFormat="1" ht="16.899999999999999" customHeight="1" x14ac:dyDescent="0.15">
      <c r="A92" s="161" t="s">
        <v>108</v>
      </c>
      <c r="B92" s="160"/>
      <c r="C92" s="141"/>
      <c r="D92" s="141"/>
      <c r="E92" s="150">
        <f>E26-E91</f>
        <v>-1246281</v>
      </c>
      <c r="F92" s="59"/>
      <c r="G92" s="59"/>
      <c r="H92" s="61">
        <f>H26-H91</f>
        <v>1380283</v>
      </c>
      <c r="I92" s="40"/>
      <c r="J92" s="38"/>
      <c r="K92" s="61">
        <f>K26-K91</f>
        <v>38590</v>
      </c>
      <c r="L92" s="71"/>
    </row>
    <row r="93" spans="1:12" s="11" customFormat="1" ht="16.899999999999999" customHeight="1" x14ac:dyDescent="0.15">
      <c r="A93" s="161" t="s">
        <v>109</v>
      </c>
      <c r="B93" s="160"/>
      <c r="C93" s="141"/>
      <c r="D93" s="141"/>
      <c r="E93" s="141">
        <f>E28-E91</f>
        <v>1324611</v>
      </c>
      <c r="F93" s="59"/>
      <c r="G93" s="59"/>
      <c r="H93" s="61">
        <f>H28-H91</f>
        <v>4187000</v>
      </c>
      <c r="I93" s="40"/>
      <c r="J93" s="38"/>
      <c r="K93" s="61">
        <f>K28-K91</f>
        <v>2845307</v>
      </c>
      <c r="L93" s="72"/>
    </row>
  </sheetData>
  <mergeCells count="24">
    <mergeCell ref="A32:A43"/>
    <mergeCell ref="A1:L1"/>
    <mergeCell ref="A2:L2"/>
    <mergeCell ref="A26:B26"/>
    <mergeCell ref="A27:B27"/>
    <mergeCell ref="A28:B28"/>
    <mergeCell ref="A92:B92"/>
    <mergeCell ref="A93:B93"/>
    <mergeCell ref="A44:A55"/>
    <mergeCell ref="A56:A59"/>
    <mergeCell ref="A60:A61"/>
    <mergeCell ref="A62:A63"/>
    <mergeCell ref="A64:A66"/>
    <mergeCell ref="A67:A72"/>
    <mergeCell ref="F78:G78"/>
    <mergeCell ref="A73:A81"/>
    <mergeCell ref="A82:A86"/>
    <mergeCell ref="A87:A88"/>
    <mergeCell ref="A91:B91"/>
    <mergeCell ref="F73:G73"/>
    <mergeCell ref="F74:G74"/>
    <mergeCell ref="F75:G75"/>
    <mergeCell ref="F76:G76"/>
    <mergeCell ref="F77:G77"/>
  </mergeCells>
  <phoneticPr fontId="4"/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5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収支予算書(案)</vt:lpstr>
      <vt:lpstr>収支予算書(案)2021</vt:lpstr>
      <vt:lpstr>収支予算書(案)2019-2021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SAGAJCNOTE</dc:creator>
  <cp:lastModifiedBy>高橋　佑輔</cp:lastModifiedBy>
  <cp:lastPrinted>2020-10-23T10:54:18Z</cp:lastPrinted>
  <dcterms:created xsi:type="dcterms:W3CDTF">2017-12-29T07:55:03Z</dcterms:created>
  <dcterms:modified xsi:type="dcterms:W3CDTF">2020-10-27T15:21:51Z</dcterms:modified>
</cp:coreProperties>
</file>