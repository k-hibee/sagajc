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予定者理事会\03\kyougi\0991-14K-120K(1gatusoukai)\siryoh\sankoh\"/>
    </mc:Choice>
  </mc:AlternateContent>
  <xr:revisionPtr revIDLastSave="0" documentId="13_ncr:1_{A7C167C6-8D90-4CC2-8D27-6BE8588EAD69}" xr6:coauthVersionLast="45" xr6:coauthVersionMax="45" xr10:uidLastSave="{00000000-0000-0000-0000-000000000000}"/>
  <bookViews>
    <workbookView xWindow="-120" yWindow="-120" windowWidth="29040" windowHeight="16440" activeTab="1" xr2:uid="{00000000-000D-0000-FFFF-FFFF00000000}"/>
  </bookViews>
  <sheets>
    <sheet name="20211月通常総会" sheetId="1" r:id="rId1"/>
    <sheet name="20211月ハイブリッド総会" sheetId="2" r:id="rId2"/>
  </sheets>
  <definedNames>
    <definedName name="_xlnm.Print_Area" localSheetId="1">'20211月ハイブリッド総会'!$A$1:$H$111</definedName>
    <definedName name="_xlnm.Print_Area" localSheetId="0">'20211月通常総会'!$A$1:$G$110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09" i="2" l="1"/>
  <c r="A108" i="2"/>
  <c r="A103" i="2"/>
  <c r="A104" i="2"/>
  <c r="A107" i="2"/>
  <c r="A108" i="1"/>
  <c r="A107" i="1"/>
  <c r="A52" i="2"/>
  <c r="A53" i="2"/>
  <c r="A54" i="2"/>
  <c r="A55" i="2"/>
  <c r="A56" i="2"/>
  <c r="A57" i="2"/>
  <c r="A63" i="2"/>
  <c r="A64" i="2"/>
  <c r="A65" i="2"/>
  <c r="A66" i="2"/>
  <c r="A68" i="2"/>
  <c r="A72" i="2"/>
  <c r="A75" i="2"/>
  <c r="A78" i="2"/>
  <c r="A83" i="2"/>
  <c r="A92" i="2"/>
  <c r="A100" i="2"/>
  <c r="A102" i="2"/>
  <c r="A110" i="2"/>
  <c r="A42" i="2"/>
  <c r="A41" i="2"/>
  <c r="A40" i="2"/>
  <c r="G2" i="2"/>
  <c r="A102" i="1"/>
  <c r="A103" i="1"/>
  <c r="A106" i="1"/>
  <c r="A51" i="1"/>
  <c r="A52" i="1"/>
  <c r="A53" i="1"/>
  <c r="A54" i="1"/>
  <c r="A55" i="1"/>
  <c r="A56" i="1"/>
  <c r="A62" i="1"/>
  <c r="A63" i="1"/>
  <c r="A64" i="1"/>
  <c r="G2" i="1"/>
  <c r="A65" i="1"/>
  <c r="A67" i="1"/>
  <c r="A71" i="1"/>
  <c r="A74" i="1"/>
  <c r="A77" i="1"/>
  <c r="A82" i="1"/>
  <c r="A91" i="1"/>
  <c r="A99" i="1"/>
  <c r="A101" i="1"/>
  <c r="A109" i="1"/>
  <c r="A41" i="1"/>
  <c r="A40" i="1"/>
  <c r="A39" i="1"/>
</calcChain>
</file>

<file path=xl/sharedStrings.xml><?xml version="1.0" encoding="utf-8"?>
<sst xmlns="http://schemas.openxmlformats.org/spreadsheetml/2006/main" count="587" uniqueCount="212">
  <si>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</si>
  <si>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</si>
  <si>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</si>
  <si>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</si>
  <si>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</si>
  <si>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</si>
  <si>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</si>
  <si>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会場内担当（MAX７名）</t>
    <rPh sb="0" eb="3">
      <t>カイj</t>
    </rPh>
    <rPh sb="3" eb="5">
      <t>タント</t>
    </rPh>
    <rPh sb="10" eb="12">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</si>
  <si>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</si>
  <si>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</si>
  <si>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</si>
  <si>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</si>
  <si>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</si>
  <si>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 記念館担当者に進行と気をつける点を伝える</t>
    <rPh sb="2" eb="9">
      <t>キネン</t>
    </rPh>
    <rPh sb="9" eb="19">
      <t>シンコ</t>
    </rPh>
    <rPh sb="19" eb="22">
      <t>ツタ</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</si>
  <si>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</si>
  <si>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</si>
  <si>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</si>
  <si>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</si>
  <si>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</si>
  <si>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</si>
  <si>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</si>
  <si>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</si>
  <si>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</si>
  <si>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</si>
  <si>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</si>
  <si>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</si>
  <si>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ＪＣＩプレート（演台に貼るヤツ）＋両面テープ</t>
    <phoneticPr fontId="3"/>
  </si>
  <si>
    <t>○ 机の前に貼る　「議長」　「シニアクラブ会長　○○」　など</t>
    <phoneticPr fontId="3"/>
  </si>
  <si>
    <t>○ スローガン旗</t>
    <phoneticPr fontId="3"/>
  </si>
  <si>
    <t>○ 立入禁止札２枚</t>
    <phoneticPr fontId="3"/>
  </si>
  <si>
    <t>○ 壇上看板　（１＆総会も）</t>
    <rPh sb="10" eb="12">
      <t>ソウカイ</t>
    </rPh>
    <phoneticPr fontId="3"/>
  </si>
  <si>
    <t>○ 総会シナリオ （○部）　　　　　　　　　　　　　　</t>
    <rPh sb="2" eb="4">
      <t>ソウカイ</t>
    </rPh>
    <rPh sb="11" eb="12">
      <t>ブ</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</si>
  <si>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</si>
  <si>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</si>
  <si>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ゴング一式　（開会に使う物？）</t>
    <rPh sb="9" eb="11">
      <t>カイカイ</t>
    </rPh>
    <rPh sb="12" eb="13">
      <t>ツカ</t>
    </rPh>
    <rPh sb="14" eb="15">
      <t>モノ</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</si>
  <si>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</si>
  <si>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</si>
  <si>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</si>
  <si>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 シニア先輩用のお茶（佐嘉神社記念館でお水出せる？）</t>
    <rPh sb="5" eb="7">
      <t>センパイ</t>
    </rPh>
    <rPh sb="7" eb="8">
      <t>ヨウ</t>
    </rPh>
    <rPh sb="10" eb="11">
      <t>チャ</t>
    </rPh>
    <rPh sb="12" eb="14">
      <t>サガ</t>
    </rPh>
    <rPh sb="14" eb="16">
      <t>ジンジャ</t>
    </rPh>
    <rPh sb="16" eb="19">
      <t>キネンカン</t>
    </rPh>
    <rPh sb="21" eb="22">
      <t>ミズ</t>
    </rPh>
    <rPh sb="22" eb="23">
      <t>ダ</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</si>
  <si>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</si>
  <si>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</si>
  <si>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</si>
  <si>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</si>
  <si>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</si>
  <si>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</si>
  <si>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 xml:space="preserve">総務委員会　写真スタンバイ </t>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</si>
  <si>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</si>
  <si>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</si>
  <si>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</si>
  <si>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</si>
  <si>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</si>
  <si>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</si>
  <si>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</si>
  <si>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</si>
  <si>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</si>
  <si>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</si>
  <si>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</si>
  <si>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</si>
  <si>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</si>
  <si>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</si>
  <si>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</si>
  <si>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</si>
  <si>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</si>
  <si>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議事録作成人：　総務委員会</t>
  </si>
  <si>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</si>
  <si>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</si>
  <si>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</si>
  <si>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</si>
  <si>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</si>
  <si>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</si>
  <si>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</si>
  <si>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</si>
  <si>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</si>
  <si>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</si>
  <si>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</si>
  <si>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</si>
  <si>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</si>
  <si>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</si>
  <si>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</si>
  <si>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議事審議</t>
  </si>
  <si>
    <t>議事審議</t>
    <rPh sb="0" eb="2">
      <t>ギジ</t>
    </rPh>
    <rPh sb="2" eb="4">
      <t>シンギ</t>
    </rPh>
    <phoneticPr fontId="3"/>
  </si>
  <si>
    <t>第１号議案</t>
    <rPh sb="0" eb="1">
      <t>ダイ</t>
    </rPh>
    <rPh sb="2" eb="3">
      <t>ゴウ</t>
    </rPh>
    <rPh sb="3" eb="5">
      <t>ギアン</t>
    </rPh>
    <phoneticPr fontId="3"/>
  </si>
  <si>
    <t>上程議案の説明を総務委員長お願いします。</t>
    <phoneticPr fontId="3"/>
  </si>
  <si>
    <t>＊＊決議</t>
    <rPh sb="2" eb="4">
      <t>ケツギ</t>
    </rPh>
    <phoneticPr fontId="3"/>
  </si>
  <si>
    <r>
      <t xml:space="preserve">
</t>
    </r>
    <r>
      <rPr>
        <sz val="10"/>
        <rFont val="ＭＳ Ｐゴシック"/>
        <family val="3"/>
        <charset val="128"/>
      </rPr>
      <t>①ありがとうございます。全会一致により可決承認致します。
②反対の人・・・　棄権の人・・・　それでは反対（棄権）理由をお願い致します。
以上により本議案は賛成多数により可決承認致します。</t>
    </r>
    <rPh sb="13" eb="15">
      <t>ゼンカイ</t>
    </rPh>
    <rPh sb="15" eb="17">
      <t>イッチ</t>
    </rPh>
    <rPh sb="20" eb="22">
      <t>カケツ</t>
    </rPh>
    <rPh sb="22" eb="24">
      <t>ショウニン</t>
    </rPh>
    <rPh sb="24" eb="25">
      <t>イタ</t>
    </rPh>
    <rPh sb="31" eb="33">
      <t>ハンタイ</t>
    </rPh>
    <rPh sb="34" eb="35">
      <t>ヒト</t>
    </rPh>
    <rPh sb="39" eb="41">
      <t>キケン</t>
    </rPh>
    <rPh sb="42" eb="43">
      <t>ヒト</t>
    </rPh>
    <rPh sb="51" eb="53">
      <t>ハンタイ</t>
    </rPh>
    <rPh sb="54" eb="56">
      <t>キケン</t>
    </rPh>
    <rPh sb="57" eb="59">
      <t>リユウ</t>
    </rPh>
    <rPh sb="61" eb="62">
      <t>ネガ</t>
    </rPh>
    <rPh sb="63" eb="64">
      <t>イタ</t>
    </rPh>
    <rPh sb="69" eb="71">
      <t>イジョウ</t>
    </rPh>
    <rPh sb="74" eb="75">
      <t>ホン</t>
    </rPh>
    <rPh sb="75" eb="77">
      <t>ギアン</t>
    </rPh>
    <rPh sb="78" eb="80">
      <t>サンセイ</t>
    </rPh>
    <rPh sb="80" eb="82">
      <t>タスウ</t>
    </rPh>
    <rPh sb="85" eb="87">
      <t>カケツ</t>
    </rPh>
    <rPh sb="87" eb="89">
      <t>ショウニン</t>
    </rPh>
    <rPh sb="89" eb="90">
      <t>イタ</t>
    </rPh>
    <phoneticPr fontId="3"/>
  </si>
  <si>
    <t>第2号議案</t>
    <rPh sb="0" eb="1">
      <t>ダイ</t>
    </rPh>
    <rPh sb="2" eb="3">
      <t>ゴウ</t>
    </rPh>
    <rPh sb="3" eb="5">
      <t>ギアン</t>
    </rPh>
    <phoneticPr fontId="3"/>
  </si>
  <si>
    <t>それでは上程議案の説明を総務委員長お願いします。</t>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</si>
  <si>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</si>
  <si>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</si>
  <si>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</si>
  <si>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</si>
  <si>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</si>
  <si>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</si>
  <si>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</si>
  <si>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</si>
  <si>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</si>
  <si>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</si>
  <si>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</si>
  <si>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</si>
  <si>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</si>
  <si>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</si>
  <si>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</si>
  <si>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</si>
  <si>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</si>
  <si>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</si>
  <si>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</si>
  <si>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</si>
  <si>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</si>
  <si>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 レコーダーは開会直前まで室長が管理（紛失を防ぐため）</t>
    <rPh sb="8" eb="14">
      <t>カ</t>
    </rPh>
    <rPh sb="14" eb="16">
      <t>シツチョウ</t>
    </rPh>
    <rPh sb="17" eb="19">
      <t>カンr</t>
    </rPh>
    <rPh sb="20" eb="23">
      <t>フンシts</t>
    </rPh>
    <rPh sb="23" eb="28">
      <t>フセg</t>
    </rPh>
    <phoneticPr fontId="3"/>
  </si>
  <si>
    <t>○ 理事長、直前理事長、特別顧問、副理事長×５名、専務理事の　卓上ネームプレート（計９枚）</t>
    <rPh sb="12" eb="14">
      <t>トクベツ</t>
    </rPh>
    <rPh sb="14" eb="16">
      <t>コモン</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</si>
  <si>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</si>
  <si>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</si>
  <si>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 ＩＣレコーダー（総務委員長BOX）（電池のチェックを！）</t>
    <rPh sb="10" eb="12">
      <t>ソウム</t>
    </rPh>
    <rPh sb="12" eb="15">
      <t>イインチョウ</t>
    </rPh>
    <rPh sb="20" eb="22">
      <t>デンチ</t>
    </rPh>
    <phoneticPr fontId="3"/>
  </si>
  <si>
    <t>受付２名　　　　　　　　　　　　　　　　　　　　　　</t>
    <rPh sb="0" eb="2">
      <t>ウケツケ</t>
    </rPh>
    <rPh sb="3" eb="4">
      <t>メイ</t>
    </rPh>
    <phoneticPr fontId="3"/>
  </si>
  <si>
    <t>CD係：　記念館担当　”スタート！”</t>
    <rPh sb="5" eb="7">
      <t>キネン</t>
    </rPh>
    <rPh sb="7" eb="8">
      <t>カン</t>
    </rPh>
    <rPh sb="8" eb="10">
      <t>タントウ</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</si>
  <si>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</si>
  <si>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監事講評  監事　音成　信介（おとなり　しんすけ）君</t>
    <rPh sb="9" eb="11">
      <t>オトナリ</t>
    </rPh>
    <rPh sb="12" eb="14">
      <t>シンスケ</t>
    </rPh>
    <rPh sb="25" eb="26">
      <t>クン</t>
    </rPh>
    <phoneticPr fontId="3"/>
  </si>
  <si>
    <t>○ １）感謝状　２）目録　３）賞状をのせるおぼん</t>
    <rPh sb="10" eb="12">
      <t>モクロク</t>
    </rPh>
    <phoneticPr fontId="3"/>
  </si>
  <si>
    <t>○プレジデンシャルリース</t>
    <phoneticPr fontId="3"/>
  </si>
  <si>
    <t>■ 当日委員会スタッフは  ＜14：00会館集合＞　メンバーは＜15：30迄会場集合＞　＜16：00まで会場設営＞ ＜16：00～リハーサル＞</t>
    <rPh sb="2" eb="4">
      <t>トウジツ</t>
    </rPh>
    <rPh sb="20" eb="22">
      <t>カイカン</t>
    </rPh>
    <rPh sb="22" eb="24">
      <t>シュウゴウ</t>
    </rPh>
    <rPh sb="37" eb="38">
      <t>マデ</t>
    </rPh>
    <rPh sb="38" eb="40">
      <t>カイジョウ</t>
    </rPh>
    <rPh sb="40" eb="42">
      <t>シュウ</t>
    </rPh>
    <rPh sb="52" eb="54">
      <t>カイジョウ</t>
    </rPh>
    <rPh sb="54" eb="56">
      <t>セツエイ</t>
    </rPh>
    <phoneticPr fontId="3"/>
  </si>
  <si>
    <t>２０２1年 １月総会　シナリオ（案）</t>
    <rPh sb="4" eb="5">
      <t>ネン</t>
    </rPh>
    <rPh sb="7" eb="8">
      <t>ガts</t>
    </rPh>
    <rPh sb="8" eb="10">
      <t>ソウカ</t>
    </rPh>
    <rPh sb="16" eb="17">
      <t>アン</t>
    </rPh>
    <phoneticPr fontId="3"/>
  </si>
  <si>
    <t>松並 （資料修正時、忘れ物対応）　　</t>
    <rPh sb="0" eb="2">
      <t>マツナミ</t>
    </rPh>
    <rPh sb="4" eb="6">
      <t>シリョ</t>
    </rPh>
    <rPh sb="6" eb="8">
      <t>シュ</t>
    </rPh>
    <rPh sb="8" eb="9">
      <t>ジ</t>
    </rPh>
    <rPh sb="10" eb="11">
      <t>ワス</t>
    </rPh>
    <rPh sb="12" eb="13">
      <t>モノ</t>
    </rPh>
    <rPh sb="13" eb="16">
      <t>タイオ</t>
    </rPh>
    <phoneticPr fontId="3"/>
  </si>
  <si>
    <t>原</t>
    <rPh sb="0" eb="1">
      <t>ハラ</t>
    </rPh>
    <phoneticPr fontId="3"/>
  </si>
  <si>
    <t>○ 式次第（１００部）＝直前まで変更の可能性あり！</t>
    <rPh sb="9" eb="10">
      <t>ブ</t>
    </rPh>
    <rPh sb="12" eb="14">
      <t>チョクゼン</t>
    </rPh>
    <rPh sb="16" eb="18">
      <t>ヘンコウ</t>
    </rPh>
    <rPh sb="19" eb="22">
      <t>カノウセイ</t>
    </rPh>
    <phoneticPr fontId="3"/>
  </si>
  <si>
    <t>○２０２１年度基本資料＆手帳</t>
    <rPh sb="5" eb="7">
      <t>ネンド</t>
    </rPh>
    <rPh sb="7" eb="9">
      <t>キホン</t>
    </rPh>
    <rPh sb="9" eb="11">
      <t>シリョウ</t>
    </rPh>
    <rPh sb="12" eb="14">
      <t>テチョウ</t>
    </rPh>
    <phoneticPr fontId="3"/>
  </si>
  <si>
    <t>署名人：　　　　　６５周年委員会　　　　　　菱岡（ひしおか）　　　委員長　　</t>
    <rPh sb="11" eb="13">
      <t>シュウネン</t>
    </rPh>
    <rPh sb="13" eb="16">
      <t>イインカイ</t>
    </rPh>
    <rPh sb="22" eb="24">
      <t>ヒシオカ</t>
    </rPh>
    <phoneticPr fontId="3"/>
  </si>
  <si>
    <t>署名人：　　　　　未来に繋がるまちづくり委員会　　        久保（くぼ）　委員長</t>
    <rPh sb="9" eb="11">
      <t>ミライ</t>
    </rPh>
    <rPh sb="12" eb="13">
      <t>ツナ</t>
    </rPh>
    <rPh sb="20" eb="23">
      <t>イインカイ</t>
    </rPh>
    <rPh sb="33" eb="35">
      <t>クボ</t>
    </rPh>
    <phoneticPr fontId="3"/>
  </si>
  <si>
    <t>理事長挨拶    理事長  古川　健太郎（ふるかわ　けんたろう）君</t>
    <rPh sb="0" eb="3">
      <t>リジチョウ</t>
    </rPh>
    <rPh sb="3" eb="5">
      <t>アイサツ</t>
    </rPh>
    <rPh sb="9" eb="12">
      <t>リジチョウ</t>
    </rPh>
    <rPh sb="14" eb="16">
      <t>フルカワ</t>
    </rPh>
    <rPh sb="17" eb="20">
      <t>ケンタロウ</t>
    </rPh>
    <rPh sb="32" eb="33">
      <t>クン</t>
    </rPh>
    <phoneticPr fontId="3"/>
  </si>
  <si>
    <t>直前理事長挨拶  直前理事長　西村　祐二郎（にしむら　ゆうじろう）君</t>
    <rPh sb="0" eb="5">
      <t>チョk</t>
    </rPh>
    <rPh sb="5" eb="7">
      <t>アイサツ</t>
    </rPh>
    <rPh sb="9" eb="14">
      <t>チョk</t>
    </rPh>
    <rPh sb="15" eb="17">
      <t>ニシムラ</t>
    </rPh>
    <rPh sb="18" eb="19">
      <t>ユウ</t>
    </rPh>
    <rPh sb="19" eb="21">
      <t>ジロウ</t>
    </rPh>
    <rPh sb="33" eb="34">
      <t>クン</t>
    </rPh>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</si>
  <si>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</si>
  <si>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それでは、シニア・クラブを代表し会長の川代　勇一（かわしろ　ゆういち）先輩よりご挨拶頂きます。　川代先輩、宜しくお願い致します。</t>
    <rPh sb="13" eb="15">
      <t>ダイヒョウ</t>
    </rPh>
    <rPh sb="16" eb="18">
      <t>カイチョウ</t>
    </rPh>
    <rPh sb="19" eb="21">
      <t>カワシロ</t>
    </rPh>
    <rPh sb="22" eb="24">
      <t>ユウイチ</t>
    </rPh>
    <rPh sb="35" eb="37">
      <t>センパイ</t>
    </rPh>
    <rPh sb="40" eb="42">
      <t>アイサツ</t>
    </rPh>
    <rPh sb="42" eb="43">
      <t>イタダ</t>
    </rPh>
    <rPh sb="48" eb="50">
      <t>カワシロ</t>
    </rPh>
    <rPh sb="50" eb="52">
      <t>センパイ</t>
    </rPh>
    <rPh sb="53" eb="54">
      <t>ヨロ</t>
    </rPh>
    <rPh sb="57" eb="58">
      <t>ネガ</t>
    </rPh>
    <rPh sb="59" eb="60">
      <t>イタ</t>
    </rPh>
    <phoneticPr fontId="3"/>
  </si>
  <si>
    <t>ここでシニア・クラブ役員の皆様をご紹介したいと思います。
皆様盛大な拍手をお願い致します。
シニア・クラブ会長の　川代　勇一（かわしろ　ゆういち）先輩です。　(ﾊﾟﾁﾊﾟﾁ)　、
副会長の　下津浦　信啓（しもつうら　のぶひろ）先輩です。（ﾊﾟﾁﾊﾟﾁ）
副会長の　古賀　満美（こが　みちみ）先輩です。（ﾊﾟﾁﾊﾟﾁ）
監事の　久保　和則（くぼ　かずのり）先輩です。　(ﾊﾟﾁﾊﾟﾁ)
会計の　木下　直哉（きのした　なおや）先輩です。（ﾊﾟﾁﾊﾟﾁ）</t>
    <rPh sb="90" eb="93">
      <t>フクカイチョウ</t>
    </rPh>
    <rPh sb="112" eb="114">
      <t>センパイ</t>
    </rPh>
    <rPh sb="131" eb="133">
      <t>コガ</t>
    </rPh>
    <rPh sb="135" eb="136">
      <t>ミツ</t>
    </rPh>
    <rPh sb="136" eb="137">
      <t>ミ</t>
    </rPh>
    <rPh sb="158" eb="160">
      <t>カンジ</t>
    </rPh>
    <rPh sb="162" eb="164">
      <t>クボ</t>
    </rPh>
    <rPh sb="165" eb="167">
      <t>カズノリ</t>
    </rPh>
    <rPh sb="192" eb="194">
      <t>カイケイ</t>
    </rPh>
    <rPh sb="196" eb="198">
      <t>キノシタ</t>
    </rPh>
    <rPh sb="211" eb="213">
      <t>センパイ</t>
    </rPh>
    <phoneticPr fontId="3"/>
  </si>
  <si>
    <t>（挨拶後）川代　勇一（かわしろ　ゆういち）先輩　ありがとうございました。</t>
    <rPh sb="1" eb="3">
      <t>アイサツ</t>
    </rPh>
    <rPh sb="3" eb="4">
      <t>ゴ</t>
    </rPh>
    <rPh sb="5" eb="7">
      <t>カワシロ</t>
    </rPh>
    <rPh sb="8" eb="10">
      <t>ユウイチ</t>
    </rPh>
    <rPh sb="21" eb="23">
      <t>センパイ</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</si>
  <si>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</si>
  <si>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</si>
  <si>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只今より定足数の確認を行ないます。　　髙橋委員長お願い致します。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</si>
  <si>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（定足数を松尾委員長に渡す、○○担当）</t>
    <rPh sb="1" eb="3">
      <t>テイソク</t>
    </rPh>
    <rPh sb="3" eb="4">
      <t>スウ</t>
    </rPh>
    <rPh sb="5" eb="7">
      <t>マツオ</t>
    </rPh>
    <rPh sb="7" eb="10">
      <t>イインチョウ</t>
    </rPh>
    <rPh sb="11" eb="12">
      <t>ワタ</t>
    </rPh>
    <rPh sb="16" eb="18">
      <t>タントウ</t>
    </rPh>
    <phoneticPr fontId="3"/>
  </si>
  <si>
    <t>第１号議案　「２０２０年度収支決算（案）承認の件」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</si>
  <si>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２０２０年度収支決算（案）承認の件｣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</si>
  <si>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第２号議案　「２０２１年度収支予算（案）承認の件」</t>
    <rPh sb="0" eb="1">
      <t>ダイ</t>
    </rPh>
    <rPh sb="2" eb="3">
      <t>ゴウ</t>
    </rPh>
    <rPh sb="3" eb="5">
      <t>ギアン</t>
    </rPh>
    <phoneticPr fontId="3"/>
  </si>
  <si>
    <t xml:space="preserve">議長のお許しを得まして、総務室長の松並　陽一（まつなみ　よういち）君からご説明をお願いしたいですが、いかがでしょうか？  </t>
    <rPh sb="7" eb="8">
      <t>エ</t>
    </rPh>
    <rPh sb="12" eb="14">
      <t>ソウム</t>
    </rPh>
    <rPh sb="14" eb="16">
      <t>シツチョウ</t>
    </rPh>
    <rPh sb="17" eb="19">
      <t>マツナミ</t>
    </rPh>
    <rPh sb="20" eb="22">
      <t>ヨウイチ</t>
    </rPh>
    <rPh sb="33" eb="34">
      <t>クン</t>
    </rPh>
    <rPh sb="41" eb="42">
      <t>ネガ</t>
    </rPh>
    <phoneticPr fontId="3"/>
  </si>
  <si>
    <t>それでは 総務室長の松並　陽一（まつなみ　よういち）君、お願いします。</t>
    <rPh sb="10" eb="12">
      <t>マツナミ</t>
    </rPh>
    <rPh sb="13" eb="15">
      <t>ヨウイチ</t>
    </rPh>
    <phoneticPr fontId="3"/>
  </si>
  <si>
    <t>この議案に対し、何かご質問はありませんでしょうか？
無ければ採決に移らせていただきます。
第2号議案　「２０２１年度収支予算（案）承認の件」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</si>
  <si>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西村理事長への感謝状及び記念品の贈呈　西村直前理事長、古川理事長ご登壇ください。</t>
    <rPh sb="0" eb="2">
      <t>ニシムラ</t>
    </rPh>
    <rPh sb="2" eb="5">
      <t>リジチョウ</t>
    </rPh>
    <rPh sb="7" eb="10">
      <t>カンシャジョウ</t>
    </rPh>
    <rPh sb="10" eb="11">
      <t>オヨ</t>
    </rPh>
    <rPh sb="12" eb="15">
      <t>キネンヒン</t>
    </rPh>
    <rPh sb="16" eb="18">
      <t>ゾウテイ</t>
    </rPh>
    <rPh sb="19" eb="21">
      <t>ニシムラ</t>
    </rPh>
    <rPh sb="21" eb="23">
      <t>チョクゼン</t>
    </rPh>
    <rPh sb="23" eb="26">
      <t>リジチョウ</t>
    </rPh>
    <rPh sb="27" eb="29">
      <t>フルカワ</t>
    </rPh>
    <rPh sb="29" eb="32">
      <t>リジチョウ</t>
    </rPh>
    <rPh sb="33" eb="35">
      <t>トウダン</t>
    </rPh>
    <phoneticPr fontId="3"/>
  </si>
  <si>
    <t>総務委員会のメンバーが会場の四隅から、皆挙手しているかチェックして、髙橋委員長に合図する。</t>
    <rPh sb="20" eb="22">
      <t>キョシュ</t>
    </rPh>
    <rPh sb="34" eb="36">
      <t>タカハシ</t>
    </rPh>
    <rPh sb="36" eb="39">
      <t>イインチョウ</t>
    </rPh>
    <phoneticPr fontId="3"/>
  </si>
  <si>
    <t>西村直前理事長、古川理事長、ご降壇下さい。</t>
    <rPh sb="0" eb="2">
      <t>ニシムラ</t>
    </rPh>
    <rPh sb="8" eb="10">
      <t>フルカワ</t>
    </rPh>
    <phoneticPr fontId="3"/>
  </si>
  <si>
    <t xml:space="preserve">大変お待たせいたしました。これより「1月総会」をとりおこないます。本日は、シニア・クラブから会長の　川代　勇一（かわしろ　ゆういち）先輩、副会長の　 下津浦　信啓（しもつうら　のぶひろ）先輩にお越し頂いております。皆様ご起立の上、拍手でお迎えください。
</t>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8">
      <t>コ</t>
    </rPh>
    <rPh sb="107" eb="109">
      <t>ミナサマ</t>
    </rPh>
    <rPh sb="110" eb="112">
      <t>キリツ</t>
    </rPh>
    <rPh sb="113" eb="114">
      <t>ウエ</t>
    </rPh>
    <rPh sb="115" eb="117">
      <t>ハクシュ</t>
    </rPh>
    <rPh sb="118" eb="120">
      <t>オムカ</t>
    </rPh>
    <phoneticPr fontId="3"/>
  </si>
  <si>
    <t>原　/　西村 　/　鮎川　/　松尾　 /　田中　/　百島　/　原岡</t>
    <rPh sb="0" eb="1">
      <t>ハラ</t>
    </rPh>
    <rPh sb="4" eb="6">
      <t>ニシムラ</t>
    </rPh>
    <rPh sb="10" eb="12">
      <t>アユカワ</t>
    </rPh>
    <rPh sb="15" eb="17">
      <t>マツオ</t>
    </rPh>
    <rPh sb="21" eb="23">
      <t>タナカ</t>
    </rPh>
    <rPh sb="26" eb="28">
      <t>モモシマ</t>
    </rPh>
    <rPh sb="31" eb="33">
      <t>ハラオカ</t>
    </rPh>
    <phoneticPr fontId="3"/>
  </si>
  <si>
    <t>（全１３名）</t>
    <rPh sb="1" eb="2">
      <t>ゼン</t>
    </rPh>
    <rPh sb="4" eb="6">
      <t>メ</t>
    </rPh>
    <phoneticPr fontId="3"/>
  </si>
  <si>
    <t>鮎川/西村</t>
    <rPh sb="0" eb="2">
      <t>アユカワ</t>
    </rPh>
    <rPh sb="3" eb="5">
      <t>ニシムラ</t>
    </rPh>
    <phoneticPr fontId="3"/>
  </si>
  <si>
    <t>田中/松尾/百島/原岡</t>
    <rPh sb="0" eb="2">
      <t>タナカ</t>
    </rPh>
    <rPh sb="3" eb="5">
      <t>マツオ</t>
    </rPh>
    <rPh sb="6" eb="8">
      <t>モモシマ</t>
    </rPh>
    <rPh sb="9" eb="11">
      <t>ハラオカ</t>
    </rPh>
    <phoneticPr fontId="3"/>
  </si>
  <si>
    <t>高橋、（ＣＤを受取り、記念館担当者へ）</t>
    <rPh sb="0" eb="2">
      <t>タカハシ</t>
    </rPh>
    <rPh sb="7" eb="9">
      <t>ウケト</t>
    </rPh>
    <rPh sb="11" eb="14">
      <t>キネンカン</t>
    </rPh>
    <rPh sb="14" eb="17">
      <t>タントウシャ</t>
    </rPh>
    <phoneticPr fontId="3"/>
  </si>
  <si>
    <t>松並室長、高橋</t>
    <rPh sb="0" eb="2">
      <t>マツナミ</t>
    </rPh>
    <rPh sb="2" eb="4">
      <t>シツチョウ</t>
    </rPh>
    <rPh sb="5" eb="7">
      <t>タカハシ</t>
    </rPh>
    <phoneticPr fontId="3"/>
  </si>
  <si>
    <t>松尾</t>
    <rPh sb="0" eb="2">
      <t>マツオ</t>
    </rPh>
    <phoneticPr fontId="3"/>
  </si>
  <si>
    <t>高橋　レコーダースタンバイ　</t>
    <rPh sb="0" eb="2">
      <t>タカハシ</t>
    </rPh>
    <phoneticPr fontId="3"/>
  </si>
  <si>
    <t>委員長は、受付で待機している　鮎川　君に「シニアの方の案内大丈夫？」と確認。（会場出入口までスタンバイ）</t>
    <rPh sb="15" eb="17">
      <t>アユカワ</t>
    </rPh>
    <phoneticPr fontId="3"/>
  </si>
  <si>
    <r>
      <rPr>
        <sz val="10"/>
        <color indexed="10"/>
        <rFont val="ＭＳ Ｐゴシック"/>
        <family val="3"/>
        <charset val="128"/>
      </rPr>
      <t>松尾</t>
    </r>
    <r>
      <rPr>
        <sz val="10"/>
        <rFont val="ＭＳ Ｐゴシック"/>
        <family val="3"/>
        <charset val="128"/>
      </rPr>
      <t>の「入場ＯＫ！」の合図を待つ</t>
    </r>
    <rPh sb="0" eb="2">
      <t>マツオ</t>
    </rPh>
    <rPh sb="4" eb="6">
      <t>ニュウジョウ</t>
    </rPh>
    <rPh sb="11" eb="13">
      <t>アイズ</t>
    </rPh>
    <rPh sb="14" eb="15">
      <t>マ</t>
    </rPh>
    <phoneticPr fontId="3"/>
  </si>
  <si>
    <t>高橋から指令を受けたシニアアテンド顧問（山口君・兵働君）が席にご案内する</t>
    <rPh sb="0" eb="2">
      <t>タカハシ</t>
    </rPh>
    <rPh sb="4" eb="6">
      <t>シレイ</t>
    </rPh>
    <rPh sb="7" eb="8">
      <t>ウ</t>
    </rPh>
    <rPh sb="17" eb="19">
      <t>コモン</t>
    </rPh>
    <rPh sb="20" eb="22">
      <t>ヤマグチ</t>
    </rPh>
    <rPh sb="22" eb="23">
      <t>クン</t>
    </rPh>
    <rPh sb="24" eb="26">
      <t>ヒョウドウ</t>
    </rPh>
    <rPh sb="26" eb="27">
      <t>クン</t>
    </rPh>
    <rPh sb="29" eb="30">
      <t>セキ</t>
    </rPh>
    <rPh sb="32" eb="34">
      <t>アンナイ</t>
    </rPh>
    <phoneticPr fontId="3"/>
  </si>
  <si>
    <t>JCICreed唱和      　　　　　　　　　　総務委員会   鶴田　翔　（つるだ　しょう）君</t>
    <rPh sb="8" eb="10">
      <t>ショウワ</t>
    </rPh>
    <rPh sb="26" eb="28">
      <t>ソウム</t>
    </rPh>
    <rPh sb="28" eb="31">
      <t>イインカイ</t>
    </rPh>
    <rPh sb="34" eb="36">
      <t>ツルダ</t>
    </rPh>
    <rPh sb="37" eb="38">
      <t>ショウ</t>
    </rPh>
    <rPh sb="48" eb="49">
      <t>クン</t>
    </rPh>
    <phoneticPr fontId="3"/>
  </si>
  <si>
    <t>JCIMission並びにJCIVison唱和　　総務委員会　森　公照　（もり　ひろあき）君</t>
    <rPh sb="10" eb="11">
      <t>ナラ</t>
    </rPh>
    <rPh sb="25" eb="27">
      <t>ソウム</t>
    </rPh>
    <rPh sb="31" eb="32">
      <t>モリ</t>
    </rPh>
    <rPh sb="33" eb="34">
      <t>コウ</t>
    </rPh>
    <rPh sb="34" eb="35">
      <t>ショウ</t>
    </rPh>
    <rPh sb="45" eb="46">
      <t>クン</t>
    </rPh>
    <phoneticPr fontId="3"/>
  </si>
  <si>
    <t>JC宣言文朗読 ならびに綱領唱和   総務委員会　宮原　陵　（みやはら　りょう）君</t>
    <rPh sb="2" eb="4">
      <t>センゲン</t>
    </rPh>
    <rPh sb="5" eb="7">
      <t>ロウドク</t>
    </rPh>
    <rPh sb="12" eb="14">
      <t>コウリョウ</t>
    </rPh>
    <rPh sb="14" eb="16">
      <t>ショウワ</t>
    </rPh>
    <rPh sb="19" eb="21">
      <t>ソウム</t>
    </rPh>
    <rPh sb="25" eb="27">
      <t>ミヤハラ</t>
    </rPh>
    <rPh sb="28" eb="29">
      <t>リョウ</t>
    </rPh>
    <rPh sb="40" eb="41">
      <t>キミ</t>
    </rPh>
    <phoneticPr fontId="3"/>
  </si>
  <si>
    <t xml:space="preserve">定足数を発表いたします。 
会員数　　　８８名、内会場出席者数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3"/>
  </si>
  <si>
    <t>原岡   議長の張り紙を貼る</t>
    <rPh sb="0" eb="2">
      <t>ハラオカ</t>
    </rPh>
    <phoneticPr fontId="3"/>
  </si>
  <si>
    <t>マイク担当：３名
（鶴田、森、宮原）</t>
    <rPh sb="3" eb="5">
      <t>タントウ</t>
    </rPh>
    <rPh sb="7" eb="8">
      <t>メイ</t>
    </rPh>
    <rPh sb="17" eb="18">
      <t>タイクン</t>
    </rPh>
    <phoneticPr fontId="3"/>
  </si>
  <si>
    <t>アテンド担当の　山口君、兵働君はシニアの方々を先導して控室までお送りする</t>
    <rPh sb="4" eb="6">
      <t>タントウ</t>
    </rPh>
    <rPh sb="8" eb="10">
      <t>ヤマグチ</t>
    </rPh>
    <rPh sb="10" eb="11">
      <t>クン</t>
    </rPh>
    <rPh sb="12" eb="14">
      <t>ヒョウドウ</t>
    </rPh>
    <rPh sb="14" eb="15">
      <t>クン</t>
    </rPh>
    <rPh sb="20" eb="22">
      <t>カタガタ</t>
    </rPh>
    <rPh sb="23" eb="25">
      <t>センドウ</t>
    </rPh>
    <rPh sb="27" eb="29">
      <t>ヒカエシツ</t>
    </rPh>
    <rPh sb="32" eb="33">
      <t>オク</t>
    </rPh>
    <phoneticPr fontId="3"/>
  </si>
  <si>
    <t>原岡、賞状と記念品を理事長に！</t>
    <rPh sb="0" eb="2">
      <t>ハラオカ</t>
    </rPh>
    <rPh sb="3" eb="5">
      <t>ショウジョウ</t>
    </rPh>
    <phoneticPr fontId="3"/>
  </si>
  <si>
    <t>来賓入場</t>
    <rPh sb="0" eb="2">
      <t>ライヒン</t>
    </rPh>
    <rPh sb="2" eb="4">
      <t>ニュウジョウ</t>
    </rPh>
    <phoneticPr fontId="3"/>
  </si>
  <si>
    <t>議長の解任</t>
    <rPh sb="0" eb="2">
      <t>ギチョウ</t>
    </rPh>
    <rPh sb="3" eb="5">
      <t>カイニン</t>
    </rPh>
    <phoneticPr fontId="3"/>
  </si>
  <si>
    <t>○ Web会議用集音マイク＆スピーカー　※適宜専用マイク</t>
    <rPh sb="5" eb="7">
      <t>カイギ</t>
    </rPh>
    <rPh sb="7" eb="8">
      <t>ヨウ</t>
    </rPh>
    <rPh sb="8" eb="10">
      <t>シュウオン</t>
    </rPh>
    <rPh sb="21" eb="23">
      <t>テキギ</t>
    </rPh>
    <rPh sb="23" eb="25">
      <t>センヨウ</t>
    </rPh>
    <phoneticPr fontId="3"/>
  </si>
  <si>
    <t>○ ノートパソコン3台(投影用、配信用、集中管理用)</t>
    <rPh sb="10" eb="11">
      <t>ダイ</t>
    </rPh>
    <rPh sb="12" eb="14">
      <t>トウエイ</t>
    </rPh>
    <rPh sb="14" eb="15">
      <t>ヨウ</t>
    </rPh>
    <rPh sb="16" eb="18">
      <t>ハイシン</t>
    </rPh>
    <rPh sb="18" eb="19">
      <t>ヨウ</t>
    </rPh>
    <rPh sb="20" eb="22">
      <t>シュウチュウ</t>
    </rPh>
    <rPh sb="22" eb="25">
      <t>カンリヨウ</t>
    </rPh>
    <phoneticPr fontId="3"/>
  </si>
  <si>
    <t>Webのため、アテンドなし。</t>
    <phoneticPr fontId="3"/>
  </si>
  <si>
    <t>ＣＤ（国歌斉唱・JCソング）</t>
    <rPh sb="3" eb="5">
      <t>コッカ</t>
    </rPh>
    <rPh sb="5" eb="7">
      <t>セイショウ</t>
    </rPh>
    <phoneticPr fontId="3"/>
  </si>
  <si>
    <t>「議長」貼り・剥がし</t>
    <rPh sb="0" eb="3">
      <t>ギチョ</t>
    </rPh>
    <rPh sb="3" eb="4">
      <t>ハ</t>
    </rPh>
    <rPh sb="7" eb="8">
      <t>ハ</t>
    </rPh>
    <phoneticPr fontId="3"/>
  </si>
  <si>
    <t>鶴田</t>
    <rPh sb="0" eb="2">
      <t>ツルダ</t>
    </rPh>
    <phoneticPr fontId="3"/>
  </si>
  <si>
    <t>監事講評  監事　井内　政徳（いのうち　まさのり）君</t>
    <rPh sb="9" eb="11">
      <t>イウチ</t>
    </rPh>
    <rPh sb="12" eb="13">
      <t>マツリゴト</t>
    </rPh>
    <rPh sb="13" eb="14">
      <t>トク</t>
    </rPh>
    <rPh sb="25" eb="26">
      <t>クン</t>
    </rPh>
    <phoneticPr fontId="3"/>
  </si>
  <si>
    <r>
      <t>大変お待たせいたしました。これより「1月総会」をとりおこないます。本日は、シニア・クラブから会長の　川代　勇一（かわしろ　ゆういち）先輩、副会長の　 下津浦　信啓（しもつうら　のぶひろ）先輩に</t>
    </r>
    <r>
      <rPr>
        <sz val="10"/>
        <color rgb="FF0000CC"/>
        <rFont val="ＭＳ Ｐゴシック"/>
        <family val="3"/>
        <charset val="128"/>
      </rPr>
      <t>ご参加</t>
    </r>
    <r>
      <rPr>
        <sz val="10"/>
        <rFont val="ＭＳ Ｐゴシック"/>
        <family val="3"/>
        <charset val="128"/>
      </rPr>
      <t xml:space="preserve">頂いております。皆様拍手でお迎えください。
</t>
    </r>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9">
      <t>サンカ</t>
    </rPh>
    <rPh sb="107" eb="109">
      <t>ミナサマ</t>
    </rPh>
    <rPh sb="109" eb="111">
      <t>ハクシュ</t>
    </rPh>
    <rPh sb="112" eb="114">
      <t>オムカ</t>
    </rPh>
    <phoneticPr fontId="3"/>
  </si>
  <si>
    <t>百島</t>
    <rPh sb="0" eb="2">
      <t>モモシマ</t>
    </rPh>
    <phoneticPr fontId="3"/>
  </si>
  <si>
    <t>松尾/田中</t>
    <rPh sb="0" eb="2">
      <t>マツオ</t>
    </rPh>
    <rPh sb="3" eb="5">
      <t>タナカ</t>
    </rPh>
    <phoneticPr fontId="3"/>
  </si>
  <si>
    <t>森、宮原</t>
    <rPh sb="0" eb="1">
      <t>モリ</t>
    </rPh>
    <rPh sb="2" eb="4">
      <t>ミヤハラ</t>
    </rPh>
    <phoneticPr fontId="3"/>
  </si>
  <si>
    <t>鶴田、森、宮原</t>
    <rPh sb="0" eb="2">
      <t>ツルタ</t>
    </rPh>
    <rPh sb="3" eb="4">
      <t>モリ</t>
    </rPh>
    <rPh sb="5" eb="7">
      <t>ミヤハラ</t>
    </rPh>
    <phoneticPr fontId="3"/>
  </si>
  <si>
    <t>＊ 3名は一番右前席より着席</t>
    <rPh sb="3" eb="4">
      <t>メイ</t>
    </rPh>
    <rPh sb="5" eb="7">
      <t>イチバン</t>
    </rPh>
    <rPh sb="7" eb="8">
      <t>ミギ</t>
    </rPh>
    <rPh sb="8" eb="9">
      <t>マエ</t>
    </rPh>
    <rPh sb="9" eb="10">
      <t>セキ</t>
    </rPh>
    <rPh sb="12" eb="14">
      <t>チャクセキ</t>
    </rPh>
    <phoneticPr fontId="3"/>
  </si>
  <si>
    <t>＊ 2名はセレモニー終了後、離席しマイク係へ</t>
    <rPh sb="3" eb="4">
      <t>メイ</t>
    </rPh>
    <rPh sb="10" eb="13">
      <t>シュウリョウゴ</t>
    </rPh>
    <rPh sb="14" eb="16">
      <t>リセキ</t>
    </rPh>
    <rPh sb="20" eb="21">
      <t>カカリ</t>
    </rPh>
    <phoneticPr fontId="3"/>
  </si>
  <si>
    <t>鮎川 →高橋へ　1) 定足数 = 来賓紹介前まで　2）出席率 = 来賓退場直後　（ＬＩＮＥでも紙でもOK。打ち合わせを！）</t>
    <rPh sb="0" eb="2">
      <t>アユカワ</t>
    </rPh>
    <rPh sb="4" eb="6">
      <t>タカハシ</t>
    </rPh>
    <rPh sb="11" eb="14">
      <t>テイs</t>
    </rPh>
    <rPh sb="17" eb="21">
      <t>ライヒン</t>
    </rPh>
    <rPh sb="21" eb="24">
      <t>マ</t>
    </rPh>
    <rPh sb="27" eb="30">
      <t>シュッs</t>
    </rPh>
    <rPh sb="33" eb="37">
      <t>ライヒン</t>
    </rPh>
    <rPh sb="37" eb="39">
      <t>チョk</t>
    </rPh>
    <rPh sb="47" eb="50">
      <t>カミd</t>
    </rPh>
    <rPh sb="53" eb="54">
      <t>ウ</t>
    </rPh>
    <rPh sb="55" eb="61">
      <t>アワs</t>
    </rPh>
    <phoneticPr fontId="3"/>
  </si>
  <si>
    <t>＊ 会館には、16時まで待機し、高橋に確認後、会場に向かってください。</t>
    <rPh sb="2" eb="6">
      <t>カイカン</t>
    </rPh>
    <rPh sb="9" eb="10">
      <t>ジ</t>
    </rPh>
    <rPh sb="12" eb="14">
      <t>タイk</t>
    </rPh>
    <rPh sb="16" eb="18">
      <t>タカハシ</t>
    </rPh>
    <rPh sb="19" eb="23">
      <t>カクニン</t>
    </rPh>
    <rPh sb="23" eb="26">
      <t>カイj</t>
    </rPh>
    <rPh sb="26" eb="35">
      <t>ムカッt</t>
    </rPh>
    <phoneticPr fontId="3"/>
  </si>
  <si>
    <t>高橋　/　横尾　/　森　/　松並室長（会館待機16:00まで）　/　鶴田　/　宮原</t>
    <rPh sb="0" eb="2">
      <t>タカハシ</t>
    </rPh>
    <rPh sb="5" eb="7">
      <t>ヨコオ</t>
    </rPh>
    <rPh sb="10" eb="11">
      <t>モリ</t>
    </rPh>
    <rPh sb="14" eb="16">
      <t>マツナミ</t>
    </rPh>
    <rPh sb="16" eb="18">
      <t>シツチョウ</t>
    </rPh>
    <rPh sb="34" eb="36">
      <t>ツルダ</t>
    </rPh>
    <rPh sb="39" eb="41">
      <t>ミヤハラ</t>
    </rPh>
    <phoneticPr fontId="3"/>
  </si>
  <si>
    <t>高橋/横尾　</t>
    <rPh sb="0" eb="2">
      <t>タカハシ</t>
    </rPh>
    <rPh sb="3" eb="5">
      <t>ヨコオ</t>
    </rPh>
    <phoneticPr fontId="3"/>
  </si>
  <si>
    <t>全体統括　：　高橋</t>
    <rPh sb="0" eb="6">
      <t>ゼンタ</t>
    </rPh>
    <rPh sb="7" eb="9">
      <t>タ</t>
    </rPh>
    <phoneticPr fontId="3"/>
  </si>
  <si>
    <t>Ｚｏｏｍ集中管理</t>
    <rPh sb="4" eb="6">
      <t>シュウチュウ</t>
    </rPh>
    <rPh sb="6" eb="8">
      <t>カンリ</t>
    </rPh>
    <phoneticPr fontId="3"/>
  </si>
  <si>
    <t>森</t>
    <rPh sb="0" eb="1">
      <t>モリ</t>
    </rPh>
    <phoneticPr fontId="3"/>
  </si>
  <si>
    <t>西村</t>
    <rPh sb="0" eb="2">
      <t>ニシムラ</t>
    </rPh>
    <phoneticPr fontId="3"/>
  </si>
  <si>
    <t>開会の辞            副理事長 　園田耕太郎（そのだ　こうたろう ）君</t>
    <rPh sb="0" eb="2">
      <t>カイカイ</t>
    </rPh>
    <rPh sb="3" eb="4">
      <t>ジ</t>
    </rPh>
    <rPh sb="16" eb="17">
      <t>フク</t>
    </rPh>
    <rPh sb="17" eb="20">
      <t>リジチョウ</t>
    </rPh>
    <rPh sb="22" eb="24">
      <t>ソノダ</t>
    </rPh>
    <rPh sb="24" eb="27">
      <t>コウタロウ</t>
    </rPh>
    <rPh sb="39" eb="40">
      <t>キミ</t>
    </rPh>
    <phoneticPr fontId="3"/>
  </si>
  <si>
    <t>オン</t>
    <phoneticPr fontId="3"/>
  </si>
  <si>
    <t>参加状況によって要変更</t>
    <rPh sb="0" eb="2">
      <t>サンカ</t>
    </rPh>
    <rPh sb="2" eb="4">
      <t>ジョウキョウ</t>
    </rPh>
    <rPh sb="8" eb="9">
      <t>ヨウ</t>
    </rPh>
    <rPh sb="9" eb="11">
      <t>ヘンコウ</t>
    </rPh>
    <phoneticPr fontId="3"/>
  </si>
  <si>
    <t>マイク係2名（森、宮原）はマイクを持参して会場2隅で待機。</t>
    <rPh sb="3" eb="4">
      <t>カカリ</t>
    </rPh>
    <rPh sb="5" eb="6">
      <t>メイ</t>
    </rPh>
    <rPh sb="7" eb="8">
      <t>モリ</t>
    </rPh>
    <rPh sb="9" eb="11">
      <t>ミヤハラ</t>
    </rPh>
    <rPh sb="17" eb="19">
      <t>ジサン</t>
    </rPh>
    <rPh sb="21" eb="23">
      <t>カイジョウ</t>
    </rPh>
    <rPh sb="24" eb="25">
      <t>スミ</t>
    </rPh>
    <rPh sb="26" eb="28">
      <t>タイキ</t>
    </rPh>
    <phoneticPr fontId="3"/>
  </si>
  <si>
    <t>マイク担当：２名
（森、宮原）</t>
    <rPh sb="3" eb="5">
      <t>タントウ</t>
    </rPh>
    <rPh sb="7" eb="8">
      <t>メイ</t>
    </rPh>
    <rPh sb="14" eb="15">
      <t>タイクン</t>
    </rPh>
    <phoneticPr fontId="3"/>
  </si>
  <si>
    <t>担当</t>
    <rPh sb="0" eb="2">
      <t>タントウ</t>
    </rPh>
    <phoneticPr fontId="3"/>
  </si>
  <si>
    <t>横尾</t>
    <rPh sb="0" eb="2">
      <t>ヨコオ</t>
    </rPh>
    <phoneticPr fontId="3"/>
  </si>
  <si>
    <t>司会</t>
    <rPh sb="0" eb="2">
      <t>シカイ</t>
    </rPh>
    <phoneticPr fontId="3"/>
  </si>
  <si>
    <t>全員</t>
    <rPh sb="0" eb="2">
      <t>ゼンイン</t>
    </rPh>
    <phoneticPr fontId="3"/>
  </si>
  <si>
    <t>宮原</t>
    <rPh sb="0" eb="2">
      <t>ミヤハラ</t>
    </rPh>
    <phoneticPr fontId="3"/>
  </si>
  <si>
    <t>高橋</t>
    <rPh sb="0" eb="2">
      <t>タカハシ</t>
    </rPh>
    <phoneticPr fontId="3"/>
  </si>
  <si>
    <t>只今より定足数の確認を行ないます。　　高橋委員長お願い致します。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</si>
  <si>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古川理事長</t>
    <rPh sb="0" eb="2">
      <t>フルカワ</t>
    </rPh>
    <rPh sb="2" eb="5">
      <t>リジチョウ</t>
    </rPh>
    <phoneticPr fontId="3"/>
  </si>
  <si>
    <t>松並室長</t>
    <rPh sb="0" eb="2">
      <t>マツナミ</t>
    </rPh>
    <rPh sb="2" eb="4">
      <t>シツチョウ</t>
    </rPh>
    <phoneticPr fontId="3"/>
  </si>
  <si>
    <r>
      <t>ここでシニアクラブの先輩（方）が退場されます。
皆様ご起立の上、拍手を</t>
    </r>
    <r>
      <rPr>
        <sz val="10"/>
        <color rgb="FF0000CC"/>
        <rFont val="ＭＳ Ｐゴシック"/>
        <family val="3"/>
        <charset val="128"/>
      </rPr>
      <t>お願いします。</t>
    </r>
    <rPh sb="16" eb="18">
      <t>タイジョウ</t>
    </rPh>
    <rPh sb="24" eb="26">
      <t>ミナサマ</t>
    </rPh>
    <rPh sb="36" eb="37">
      <t>ネガ</t>
    </rPh>
    <phoneticPr fontId="3"/>
  </si>
  <si>
    <t>閉会の辞  副理事長 　吉村　篤 （よしむら　あつし）君</t>
    <rPh sb="0" eb="2">
      <t>ヘイカイ</t>
    </rPh>
    <rPh sb="3" eb="4">
      <t>ジ</t>
    </rPh>
    <rPh sb="6" eb="10">
      <t>フクリジチョウ</t>
    </rPh>
    <rPh sb="12" eb="14">
      <t>ヨシムラ</t>
    </rPh>
    <rPh sb="15" eb="16">
      <t>アツシ</t>
    </rPh>
    <rPh sb="27" eb="28">
      <t>クン</t>
    </rPh>
    <phoneticPr fontId="3"/>
  </si>
  <si>
    <t>古川理事長参考</t>
    <rPh sb="0" eb="2">
      <t>フルカワ</t>
    </rPh>
    <rPh sb="2" eb="5">
      <t>リジチョウ</t>
    </rPh>
    <rPh sb="5" eb="7">
      <t>サンコウ</t>
    </rPh>
    <phoneticPr fontId="3"/>
  </si>
  <si>
    <t>議長のお許しを得まして、総務室長の松並　陽一 （まつなみ　よういち）君に説明をお願いしたいのですがいかがでしょうか？ 
※松並君欠席の場合は、総務委員会委員長　高橋　佑輔君</t>
    <rPh sb="0" eb="2">
      <t>ギチョウ</t>
    </rPh>
    <rPh sb="3" eb="5">
      <t>オユル</t>
    </rPh>
    <rPh sb="7" eb="8">
      <t>エ</t>
    </rPh>
    <rPh sb="12" eb="14">
      <t>ソウム</t>
    </rPh>
    <rPh sb="14" eb="16">
      <t>シツチョウ</t>
    </rPh>
    <rPh sb="15" eb="16">
      <t>チョウ</t>
    </rPh>
    <rPh sb="17" eb="19">
      <t>マツナミ</t>
    </rPh>
    <rPh sb="20" eb="22">
      <t>ヨウイチ</t>
    </rPh>
    <rPh sb="34" eb="35">
      <t>クン</t>
    </rPh>
    <rPh sb="36" eb="38">
      <t>セツメイ</t>
    </rPh>
    <rPh sb="39" eb="41">
      <t>オネガ</t>
    </rPh>
    <rPh sb="61" eb="63">
      <t>マツナミ</t>
    </rPh>
    <rPh sb="63" eb="64">
      <t>クン</t>
    </rPh>
    <rPh sb="73" eb="76">
      <t>イインカイ</t>
    </rPh>
    <rPh sb="76" eb="79">
      <t>イインチョウ</t>
    </rPh>
    <rPh sb="80" eb="82">
      <t>タカハシ</t>
    </rPh>
    <rPh sb="83" eb="85">
      <t>ユウスケ</t>
    </rPh>
    <rPh sb="85" eb="86">
      <t>クン</t>
    </rPh>
    <phoneticPr fontId="3"/>
  </si>
  <si>
    <t>それでは ２０２１年度、総務室長の松並　陽一（まつなみ　よういち）君お願いします。
※松並君欠席の場合は、総務委員会委員長　高橋　佑輔君</t>
    <rPh sb="12" eb="14">
      <t>ソウム</t>
    </rPh>
    <rPh sb="14" eb="16">
      <t>シツチョウ</t>
    </rPh>
    <rPh sb="17" eb="19">
      <t>マツナミ</t>
    </rPh>
    <rPh sb="20" eb="22">
      <t>ヨウイチ</t>
    </rPh>
    <rPh sb="33" eb="34">
      <t>クン</t>
    </rPh>
    <rPh sb="35" eb="36">
      <t>ネガ</t>
    </rPh>
    <rPh sb="43" eb="45">
      <t>マツナミ</t>
    </rPh>
    <rPh sb="62" eb="64">
      <t>タカハシ</t>
    </rPh>
    <rPh sb="65" eb="67">
      <t>ユウスケ</t>
    </rPh>
    <rPh sb="67" eb="68">
      <t>クン</t>
    </rPh>
    <phoneticPr fontId="3"/>
  </si>
  <si>
    <t>２０２１年度、総務室長　松並　陽一 君　　　　　　　　（議案説明）
※松並君欠席の場合は、２０２１年度総務委員会委員長　高橋　佑輔君</t>
    <rPh sb="4" eb="6">
      <t>ネンド</t>
    </rPh>
    <rPh sb="7" eb="9">
      <t>ソウム</t>
    </rPh>
    <rPh sb="9" eb="11">
      <t>シツチョウ</t>
    </rPh>
    <rPh sb="12" eb="14">
      <t>マツナミ</t>
    </rPh>
    <rPh sb="15" eb="17">
      <t>ヨウイチ</t>
    </rPh>
    <rPh sb="28" eb="30">
      <t>ギアン</t>
    </rPh>
    <rPh sb="30" eb="32">
      <t>セツメイ</t>
    </rPh>
    <rPh sb="35" eb="37">
      <t>マツナミ</t>
    </rPh>
    <rPh sb="60" eb="62">
      <t>タカハシ</t>
    </rPh>
    <rPh sb="63" eb="65">
      <t>ユウスケ</t>
    </rPh>
    <phoneticPr fontId="3"/>
  </si>
  <si>
    <t>松並</t>
    <rPh sb="0" eb="2">
      <t>マツナミ</t>
    </rPh>
    <phoneticPr fontId="3"/>
  </si>
  <si>
    <t>２０２1年 １月総会　シナリオ（案）　※ハイブリッドの場合</t>
    <rPh sb="4" eb="5">
      <t>ネン</t>
    </rPh>
    <rPh sb="7" eb="8">
      <t>ガts</t>
    </rPh>
    <rPh sb="8" eb="10">
      <t>ソウカ</t>
    </rPh>
    <rPh sb="16" eb="17">
      <t>アン</t>
    </rPh>
    <rPh sb="27" eb="29">
      <t>バアイ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</si>
</sst>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sz val="10"/>
      <color rgb="FF0000CC"/>
      <name val="ＭＳ Ｐゴシック"/>
      <family val="3"/>
      <charset val="128"/>
    </font>
    <font>
      <strike/>
      <sz val="10"/>
      <name val="ＭＳ Ｐゴシック"/>
      <family val="3"/>
      <charset val="128"/>
    </font>
    <font>
      <sz val="9"/>
      <color theme="0"/>
      <name val="ＭＳ Ｐゴシック"/>
      <family val="3"/>
      <charset val="128"/>
    </font>
    <font>
      <strike/>
      <sz val="10"/>
      <color indexed="10"/>
      <name val="ＭＳ Ｐ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7">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4" fillId="0" borderId="1" xfId="0" applyFont="1" applyBorder="1" applyAlignment="1">
      <alignment vertical="center"/>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1" xfId="0" applyFont="1" applyBorder="1" applyAlignment="1">
      <alignment vertical="center" shrinkToFit="1"/>
    </xf>
    <xf numFmtId="0" fontId="0" fillId="0" borderId="0" xfId="0" applyFont="1" applyAlignment="1">
      <alignment vertical="center"/>
    </xf>
    <xf numFmtId="0" fontId="6" fillId="0" borderId="0" xfId="0" applyFont="1" applyAlignment="1">
      <alignment horizontal="left" vertical="center"/>
    </xf>
    <xf numFmtId="0" fontId="4" fillId="0" borderId="1" xfId="0" applyFont="1" applyBorder="1" applyAlignment="1">
      <alignment vertical="center"/>
    </xf>
    <xf numFmtId="0" fontId="4" fillId="0" borderId="2" xfId="0" applyFont="1" applyBorder="1" applyAlignment="1">
      <alignment vertical="center"/>
    </xf>
    <xf numFmtId="0" fontId="0" fillId="0" borderId="3"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6" fillId="5" borderId="1" xfId="0" applyFont="1" applyFill="1" applyBorder="1" applyAlignment="1">
      <alignment vertical="center"/>
    </xf>
    <xf numFmtId="0" fontId="4" fillId="0" borderId="0" xfId="0" applyFont="1" applyBorder="1" applyAlignment="1">
      <alignment vertical="center"/>
    </xf>
    <xf numFmtId="0" fontId="4" fillId="5" borderId="0" xfId="0" applyFont="1" applyFill="1" applyBorder="1" applyAlignment="1">
      <alignment horizontal="center" vertical="center" wrapText="1" shrinkToFit="1"/>
    </xf>
    <xf numFmtId="0" fontId="4" fillId="5" borderId="1" xfId="0" applyFont="1" applyFill="1" applyBorder="1" applyAlignment="1">
      <alignment horizontal="center" vertical="center" wrapText="1" shrinkToFit="1"/>
    </xf>
    <xf numFmtId="20" fontId="4" fillId="0" borderId="1" xfId="0" applyNumberFormat="1" applyFont="1" applyBorder="1" applyAlignment="1">
      <alignment horizontal="right" vertical="center" wrapText="1" shrinkToFit="1"/>
    </xf>
    <xf numFmtId="20" fontId="8" fillId="0" borderId="1" xfId="0" applyNumberFormat="1" applyFont="1" applyBorder="1" applyAlignment="1">
      <alignment vertical="center" wrapText="1"/>
    </xf>
    <xf numFmtId="0" fontId="4" fillId="0" borderId="1" xfId="0" applyFont="1" applyBorder="1" applyAlignment="1">
      <alignment horizontal="center" vertical="center" wrapText="1" shrinkToFit="1"/>
    </xf>
    <xf numFmtId="0" fontId="4" fillId="2" borderId="1" xfId="0" applyFont="1" applyFill="1" applyBorder="1" applyAlignment="1">
      <alignment vertical="center" wrapText="1" shrinkToFit="1"/>
    </xf>
    <xf numFmtId="0" fontId="10" fillId="2" borderId="1" xfId="0" applyFont="1" applyFill="1" applyBorder="1" applyAlignment="1">
      <alignment horizontal="left" vertical="center" wrapText="1" shrinkToFit="1"/>
    </xf>
    <xf numFmtId="0" fontId="4" fillId="0" borderId="1" xfId="0" applyFont="1" applyBorder="1" applyAlignment="1">
      <alignment horizontal="left" vertical="center" wrapText="1" shrinkToFit="1"/>
    </xf>
    <xf numFmtId="20" fontId="4" fillId="0" borderId="1" xfId="0" applyNumberFormat="1"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horizontal="right" vertical="center" wrapText="1"/>
    </xf>
    <xf numFmtId="0" fontId="4" fillId="2" borderId="1" xfId="0" applyFont="1" applyFill="1" applyBorder="1" applyAlignment="1">
      <alignment vertical="center" wrapText="1"/>
    </xf>
    <xf numFmtId="20" fontId="4" fillId="0" borderId="1" xfId="0" applyNumberFormat="1" applyFont="1" applyBorder="1" applyAlignment="1">
      <alignment vertical="center" wrapText="1"/>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11" fillId="3" borderId="1" xfId="0" applyFont="1" applyFill="1" applyBorder="1" applyAlignment="1">
      <alignment vertical="center" wrapText="1"/>
    </xf>
    <xf numFmtId="0" fontId="10" fillId="2" borderId="1" xfId="0" applyFont="1" applyFill="1" applyBorder="1" applyAlignment="1">
      <alignment horizontal="left" vertical="center" wrapText="1"/>
    </xf>
    <xf numFmtId="0" fontId="10" fillId="0" borderId="1" xfId="0" applyFont="1" applyBorder="1" applyAlignment="1">
      <alignment vertical="center" wrapText="1" shrinkToFit="1"/>
    </xf>
    <xf numFmtId="0" fontId="15" fillId="4" borderId="1" xfId="0" applyFont="1" applyFill="1" applyBorder="1" applyAlignment="1">
      <alignment horizontal="center" vertical="center" wrapText="1"/>
    </xf>
    <xf numFmtId="0" fontId="12" fillId="2" borderId="1" xfId="0" applyFont="1" applyFill="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4" fillId="3" borderId="1" xfId="0" applyFont="1" applyFill="1" applyBorder="1" applyAlignment="1">
      <alignment vertical="center" wrapText="1"/>
    </xf>
    <xf numFmtId="0" fontId="14" fillId="2" borderId="1" xfId="0" applyFont="1" applyFill="1" applyBorder="1" applyAlignment="1">
      <alignment vertical="center" wrapText="1"/>
    </xf>
    <xf numFmtId="0" fontId="13" fillId="2" borderId="1" xfId="0" applyFont="1" applyFill="1" applyBorder="1" applyAlignment="1">
      <alignment vertical="center" wrapText="1"/>
    </xf>
    <xf numFmtId="0" fontId="16" fillId="0" borderId="1" xfId="0" applyFont="1" applyBorder="1" applyAlignment="1">
      <alignment vertical="center" wrapText="1"/>
    </xf>
    <xf numFmtId="20" fontId="4" fillId="0" borderId="1" xfId="0" applyNumberFormat="1" applyFont="1" applyBorder="1" applyAlignment="1">
      <alignment horizontal="right" vertical="center" wrapText="1"/>
    </xf>
    <xf numFmtId="0" fontId="4" fillId="0" borderId="1" xfId="0" applyFont="1" applyBorder="1" applyAlignment="1">
      <alignment horizontal="right" vertical="center" wrapText="1"/>
    </xf>
    <xf numFmtId="0" fontId="0" fillId="0" borderId="1" xfId="0" applyFont="1" applyBorder="1" applyAlignment="1">
      <alignment horizontal="right" vertical="center" wrapText="1"/>
    </xf>
    <xf numFmtId="0" fontId="4" fillId="0" borderId="1"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5" borderId="1" xfId="0" applyFont="1" applyFill="1" applyBorder="1" applyAlignment="1">
      <alignment vertical="center"/>
    </xf>
    <xf numFmtId="0" fontId="7" fillId="5" borderId="1" xfId="0" applyFont="1" applyFill="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1" xfId="0" applyFont="1" applyBorder="1" applyAlignment="1">
      <alignment vertical="center"/>
    </xf>
    <xf numFmtId="0" fontId="0" fillId="0" borderId="1" xfId="0" applyFont="1" applyBorder="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0" fillId="0" borderId="3"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8"/>
  <sheetViews>
    <sheetView view="pageBreakPreview" zoomScaleNormal="97" zoomScaleSheetLayoutView="100" workbookViewId="0">
      <selection activeCell="E13" sqref="E13"/>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16384" width="13" style="1"/>
  </cols>
  <sheetData>
    <row r="1" spans="1:7" ht="21.75" customHeight="1" x14ac:dyDescent="0.15">
      <c r="A1" s="55" t="s">
        <v>120</v>
      </c>
      <c r="B1" s="55"/>
      <c r="C1" s="55"/>
      <c r="D1" s="55"/>
      <c r="E1" s="55"/>
      <c r="F1" s="55"/>
      <c r="G1" s="55"/>
    </row>
    <row r="2" spans="1:7" x14ac:dyDescent="0.15">
      <c r="B2" s="2"/>
      <c r="G2" s="3">
        <f ca="1">NOW()</f>
        <v>44180.575225810186</v>
      </c>
    </row>
    <row r="3" spans="1:7" ht="21.75" customHeight="1" x14ac:dyDescent="0.15">
      <c r="A3" s="56" t="s">
        <v>119</v>
      </c>
      <c r="B3" s="56"/>
      <c r="C3" s="56"/>
      <c r="D3" s="56"/>
      <c r="E3" s="56"/>
      <c r="F3" s="56"/>
      <c r="G3" s="56"/>
    </row>
    <row r="4" spans="1:7" ht="17.25" customHeight="1" x14ac:dyDescent="0.15">
      <c r="B4" s="2"/>
    </row>
    <row r="5" spans="1:7" ht="17.25" customHeight="1" x14ac:dyDescent="0.15">
      <c r="B5" s="2" t="s">
        <v>0</v>
      </c>
      <c r="C5" s="4" t="s">
        <v>1</v>
      </c>
      <c r="D5" s="5">
        <v>0.625</v>
      </c>
      <c r="E5" s="1" t="s">
        <v>184</v>
      </c>
      <c r="F5" s="13"/>
      <c r="G5" s="1" t="s">
        <v>105</v>
      </c>
    </row>
    <row r="6" spans="1:7" ht="17.25" customHeight="1" x14ac:dyDescent="0.15">
      <c r="B6" s="2"/>
      <c r="C6" s="1" t="s">
        <v>148</v>
      </c>
      <c r="D6" s="5">
        <v>0.65625</v>
      </c>
      <c r="E6" s="1" t="s">
        <v>147</v>
      </c>
    </row>
    <row r="7" spans="1:7" ht="17.25" customHeight="1" x14ac:dyDescent="0.15">
      <c r="B7" s="2"/>
      <c r="D7" s="5">
        <v>0.6875</v>
      </c>
    </row>
    <row r="8" spans="1:7" ht="17.25" customHeight="1" x14ac:dyDescent="0.15">
      <c r="B8" s="2"/>
      <c r="D8" s="2" t="s">
        <v>2</v>
      </c>
      <c r="E8" s="1" t="s">
        <v>106</v>
      </c>
    </row>
    <row r="9" spans="1:7" ht="17.25" customHeight="1" x14ac:dyDescent="0.15">
      <c r="B9" s="2"/>
    </row>
    <row r="10" spans="1:7" ht="17.25" customHeight="1" x14ac:dyDescent="0.15">
      <c r="B10" s="2" t="s">
        <v>3</v>
      </c>
      <c r="C10" s="4" t="s">
        <v>4</v>
      </c>
      <c r="E10" s="1" t="s">
        <v>186</v>
      </c>
    </row>
    <row r="11" spans="1:7" ht="17.25" customHeight="1" x14ac:dyDescent="0.15">
      <c r="B11" s="2"/>
      <c r="C11" s="6" t="s">
        <v>5</v>
      </c>
      <c r="E11" s="1" t="s">
        <v>185</v>
      </c>
    </row>
    <row r="12" spans="1:7" ht="17.25" customHeight="1" x14ac:dyDescent="0.15">
      <c r="B12" s="2"/>
      <c r="C12" s="6" t="s">
        <v>6</v>
      </c>
      <c r="E12" s="1" t="s">
        <v>121</v>
      </c>
      <c r="F12" s="1" t="s">
        <v>183</v>
      </c>
    </row>
    <row r="13" spans="1:7" ht="17.25" customHeight="1" x14ac:dyDescent="0.15">
      <c r="B13" s="2"/>
      <c r="C13" s="6" t="s">
        <v>107</v>
      </c>
      <c r="E13" s="1" t="s">
        <v>149</v>
      </c>
    </row>
    <row r="14" spans="1:7" ht="17.25" customHeight="1" x14ac:dyDescent="0.15">
      <c r="B14" s="2"/>
      <c r="C14" s="6" t="s">
        <v>7</v>
      </c>
      <c r="E14" s="1" t="s">
        <v>150</v>
      </c>
    </row>
    <row r="15" spans="1:7" ht="17.25" customHeight="1" x14ac:dyDescent="0.15">
      <c r="B15" s="2"/>
      <c r="C15" s="6" t="s">
        <v>8</v>
      </c>
      <c r="E15" s="1" t="s">
        <v>122</v>
      </c>
    </row>
    <row r="16" spans="1:7" ht="17.25" customHeight="1" x14ac:dyDescent="0.15">
      <c r="B16" s="2"/>
      <c r="C16" s="2" t="s">
        <v>9</v>
      </c>
    </row>
    <row r="17" spans="1:7" ht="17.25" customHeight="1" x14ac:dyDescent="0.15">
      <c r="B17" s="2" t="s">
        <v>3</v>
      </c>
      <c r="C17" s="4" t="s">
        <v>10</v>
      </c>
    </row>
    <row r="18" spans="1:7" ht="17.25" customHeight="1" x14ac:dyDescent="0.15">
      <c r="B18" s="2"/>
      <c r="C18" s="6" t="s">
        <v>11</v>
      </c>
      <c r="E18" s="1" t="s">
        <v>152</v>
      </c>
    </row>
    <row r="19" spans="1:7" ht="17.25" customHeight="1" x14ac:dyDescent="0.15">
      <c r="B19" s="2"/>
      <c r="C19" s="6" t="s">
        <v>12</v>
      </c>
      <c r="E19" s="1" t="s">
        <v>151</v>
      </c>
      <c r="F19" s="1" t="s">
        <v>13</v>
      </c>
    </row>
    <row r="20" spans="1:7" ht="17.25" customHeight="1" x14ac:dyDescent="0.15">
      <c r="B20" s="2" t="s">
        <v>3</v>
      </c>
      <c r="C20" s="4" t="s">
        <v>14</v>
      </c>
    </row>
    <row r="21" spans="1:7" ht="17.25" customHeight="1" x14ac:dyDescent="0.15">
      <c r="B21" s="2"/>
      <c r="C21" s="6" t="s">
        <v>15</v>
      </c>
      <c r="E21" s="1" t="s">
        <v>179</v>
      </c>
      <c r="F21" s="1" t="s">
        <v>180</v>
      </c>
    </row>
    <row r="22" spans="1:7" ht="17.25" customHeight="1" x14ac:dyDescent="0.15">
      <c r="B22" s="2"/>
      <c r="C22" s="6" t="s">
        <v>16</v>
      </c>
      <c r="E22" s="1" t="s">
        <v>178</v>
      </c>
      <c r="F22" s="1" t="s">
        <v>181</v>
      </c>
    </row>
    <row r="23" spans="1:7" ht="17.25" customHeight="1" x14ac:dyDescent="0.15">
      <c r="B23" s="2"/>
      <c r="C23" s="6" t="s">
        <v>171</v>
      </c>
      <c r="E23" s="1" t="s">
        <v>176</v>
      </c>
    </row>
    <row r="24" spans="1:7" ht="17.25" customHeight="1" x14ac:dyDescent="0.15">
      <c r="B24" s="2"/>
      <c r="C24" s="6" t="s">
        <v>172</v>
      </c>
      <c r="E24" s="1" t="s">
        <v>173</v>
      </c>
    </row>
    <row r="25" spans="1:7" ht="17.25" customHeight="1" x14ac:dyDescent="0.15">
      <c r="B25" s="2"/>
      <c r="C25" s="6" t="s">
        <v>17</v>
      </c>
      <c r="E25" s="1" t="s">
        <v>177</v>
      </c>
      <c r="F25" s="1" t="s">
        <v>108</v>
      </c>
    </row>
    <row r="26" spans="1:7" ht="17.25" customHeight="1" x14ac:dyDescent="0.15">
      <c r="B26" s="2"/>
      <c r="C26" s="6" t="s">
        <v>18</v>
      </c>
      <c r="E26" s="1" t="s">
        <v>182</v>
      </c>
    </row>
    <row r="27" spans="1:7" ht="17.25" customHeight="1" x14ac:dyDescent="0.15"/>
    <row r="28" spans="1:7" ht="17.25" customHeight="1" x14ac:dyDescent="0.15">
      <c r="A28" s="2"/>
      <c r="B28" s="2" t="s">
        <v>19</v>
      </c>
      <c r="C28" s="57" t="s">
        <v>20</v>
      </c>
      <c r="D28" s="57"/>
      <c r="E28" s="57"/>
      <c r="F28" s="7"/>
    </row>
    <row r="29" spans="1:7" ht="17.25" customHeight="1" x14ac:dyDescent="0.15">
      <c r="A29" s="8"/>
      <c r="B29" s="8"/>
      <c r="C29" s="58" t="s">
        <v>21</v>
      </c>
      <c r="D29" s="59"/>
      <c r="E29" s="20" t="s">
        <v>22</v>
      </c>
      <c r="F29" s="20" t="s">
        <v>23</v>
      </c>
      <c r="G29" s="20" t="s">
        <v>24</v>
      </c>
    </row>
    <row r="30" spans="1:7" ht="17.25" customHeight="1" x14ac:dyDescent="0.15">
      <c r="C30" s="60" t="s">
        <v>25</v>
      </c>
      <c r="D30" s="61"/>
      <c r="E30" s="19" t="s">
        <v>26</v>
      </c>
      <c r="F30" s="19" t="s">
        <v>111</v>
      </c>
      <c r="G30" s="19" t="s">
        <v>27</v>
      </c>
    </row>
    <row r="31" spans="1:7" ht="17.25" customHeight="1" x14ac:dyDescent="0.15">
      <c r="C31" s="62" t="s">
        <v>28</v>
      </c>
      <c r="D31" s="63"/>
      <c r="E31" s="12" t="s">
        <v>110</v>
      </c>
      <c r="F31" s="9" t="s">
        <v>112</v>
      </c>
      <c r="G31" s="9" t="s">
        <v>29</v>
      </c>
    </row>
    <row r="32" spans="1:7" ht="17.25" customHeight="1" x14ac:dyDescent="0.15">
      <c r="C32" s="62" t="s">
        <v>30</v>
      </c>
      <c r="D32" s="63"/>
      <c r="E32" s="12" t="s">
        <v>109</v>
      </c>
      <c r="F32" s="9" t="s">
        <v>32</v>
      </c>
      <c r="G32" s="9" t="s">
        <v>31</v>
      </c>
    </row>
    <row r="33" spans="1:9" ht="17.25" customHeight="1" x14ac:dyDescent="0.15">
      <c r="C33" s="62"/>
      <c r="D33" s="63"/>
      <c r="E33" s="9" t="s">
        <v>117</v>
      </c>
      <c r="F33" s="9" t="s">
        <v>35</v>
      </c>
      <c r="G33" s="9" t="s">
        <v>33</v>
      </c>
    </row>
    <row r="34" spans="1:9" ht="17.25" customHeight="1" x14ac:dyDescent="0.15">
      <c r="C34" s="62"/>
      <c r="D34" s="63"/>
      <c r="E34" s="9" t="s">
        <v>34</v>
      </c>
      <c r="F34" s="9" t="s">
        <v>37</v>
      </c>
      <c r="G34" s="12" t="s">
        <v>123</v>
      </c>
    </row>
    <row r="35" spans="1:9" ht="17.25" customHeight="1" x14ac:dyDescent="0.15">
      <c r="C35" s="62"/>
      <c r="D35" s="63"/>
      <c r="E35" s="9" t="s">
        <v>36</v>
      </c>
      <c r="F35" s="9" t="s">
        <v>38</v>
      </c>
      <c r="G35" s="12" t="s">
        <v>124</v>
      </c>
    </row>
    <row r="36" spans="1:9" ht="17.25" customHeight="1" x14ac:dyDescent="0.15">
      <c r="C36" s="65"/>
      <c r="D36" s="66"/>
      <c r="E36" s="9" t="s">
        <v>118</v>
      </c>
      <c r="F36" s="9"/>
      <c r="G36" s="9"/>
    </row>
    <row r="37" spans="1:9" ht="18.75" customHeight="1" x14ac:dyDescent="0.15">
      <c r="B37" s="2"/>
      <c r="H37" s="21"/>
    </row>
    <row r="38" spans="1:9" ht="23.25" customHeight="1" x14ac:dyDescent="0.15">
      <c r="A38" s="23" t="s">
        <v>39</v>
      </c>
      <c r="B38" s="23" t="s">
        <v>40</v>
      </c>
      <c r="C38" s="23" t="s">
        <v>41</v>
      </c>
      <c r="D38" s="23" t="s">
        <v>195</v>
      </c>
      <c r="E38" s="23" t="s">
        <v>42</v>
      </c>
      <c r="F38" s="23" t="s">
        <v>43</v>
      </c>
      <c r="G38" s="23" t="s">
        <v>44</v>
      </c>
      <c r="H38" s="22"/>
      <c r="I38" s="21"/>
    </row>
    <row r="39" spans="1:9" ht="17.25" customHeight="1" x14ac:dyDescent="0.15">
      <c r="A39" s="24">
        <f>A40-B39</f>
        <v>0.70138888888888884</v>
      </c>
      <c r="B39" s="25">
        <v>2.0833333333333332E-2</v>
      </c>
      <c r="C39" s="26"/>
      <c r="D39" s="26"/>
      <c r="E39" s="27"/>
      <c r="F39" s="27" t="s">
        <v>45</v>
      </c>
      <c r="G39" s="26"/>
      <c r="H39" s="21"/>
    </row>
    <row r="40" spans="1:9" x14ac:dyDescent="0.15">
      <c r="A40" s="24">
        <f>A41-B40</f>
        <v>0.72222222222222221</v>
      </c>
      <c r="B40" s="25">
        <v>3.472222222222222E-3</v>
      </c>
      <c r="C40" s="26"/>
      <c r="D40" s="26"/>
      <c r="E40" s="28"/>
      <c r="F40" s="28" t="s">
        <v>154</v>
      </c>
      <c r="G40" s="29"/>
    </row>
    <row r="41" spans="1:9" ht="24.75" customHeight="1" x14ac:dyDescent="0.15">
      <c r="A41" s="30">
        <f>A46-B41</f>
        <v>0.72569444444444442</v>
      </c>
      <c r="B41" s="25">
        <v>3.472222222222222E-3</v>
      </c>
      <c r="C41" s="31" t="s">
        <v>197</v>
      </c>
      <c r="D41" s="32" t="s">
        <v>196</v>
      </c>
      <c r="E41" s="33" t="s">
        <v>46</v>
      </c>
      <c r="F41" s="33"/>
      <c r="G41" s="34" t="s">
        <v>113</v>
      </c>
    </row>
    <row r="42" spans="1:9" ht="24.75" customHeight="1" x14ac:dyDescent="0.15">
      <c r="A42" s="35"/>
      <c r="B42" s="33"/>
      <c r="C42" s="33"/>
      <c r="D42" s="32" t="s">
        <v>196</v>
      </c>
      <c r="E42" s="33" t="s">
        <v>47</v>
      </c>
      <c r="F42" s="33"/>
      <c r="G42" s="33" t="s">
        <v>48</v>
      </c>
    </row>
    <row r="43" spans="1:9" ht="24" x14ac:dyDescent="0.15">
      <c r="A43" s="35"/>
      <c r="B43" s="33"/>
      <c r="C43" s="33"/>
      <c r="D43" s="32" t="s">
        <v>196</v>
      </c>
      <c r="E43" s="33" t="s">
        <v>49</v>
      </c>
      <c r="F43" s="33"/>
      <c r="G43" s="33"/>
    </row>
    <row r="44" spans="1:9" ht="24" x14ac:dyDescent="0.15">
      <c r="A44" s="35"/>
      <c r="B44" s="33"/>
      <c r="C44" s="33"/>
      <c r="D44" s="32"/>
      <c r="E44" s="36"/>
      <c r="F44" s="36" t="s">
        <v>155</v>
      </c>
      <c r="G44" s="33" t="s">
        <v>156</v>
      </c>
    </row>
    <row r="45" spans="1:9" ht="12.75" customHeight="1" x14ac:dyDescent="0.15">
      <c r="A45" s="35"/>
      <c r="B45" s="37"/>
      <c r="C45" s="33"/>
      <c r="D45" s="32"/>
      <c r="E45" s="36"/>
      <c r="F45" s="36"/>
      <c r="G45" s="33"/>
    </row>
    <row r="46" spans="1:9" ht="48" x14ac:dyDescent="0.15">
      <c r="A46" s="30">
        <v>0.72916666666666663</v>
      </c>
      <c r="B46" s="37">
        <v>6.9444444444444447E-4</v>
      </c>
      <c r="C46" s="33" t="s">
        <v>166</v>
      </c>
      <c r="D46" s="32" t="s">
        <v>196</v>
      </c>
      <c r="E46" s="38" t="s">
        <v>146</v>
      </c>
      <c r="F46" s="39"/>
      <c r="G46" s="36" t="s">
        <v>157</v>
      </c>
    </row>
    <row r="47" spans="1:9" ht="17.25" customHeight="1" x14ac:dyDescent="0.15">
      <c r="A47" s="35"/>
      <c r="B47" s="33"/>
      <c r="C47" s="33"/>
      <c r="D47" s="32"/>
      <c r="E47" s="36"/>
      <c r="F47" s="36"/>
      <c r="G47" s="33"/>
    </row>
    <row r="48" spans="1:9" ht="24" x14ac:dyDescent="0.15">
      <c r="A48" s="35"/>
      <c r="B48" s="33"/>
      <c r="C48" s="33"/>
      <c r="D48" s="32"/>
      <c r="E48" s="36"/>
      <c r="F48" s="36"/>
      <c r="G48" s="33" t="s">
        <v>50</v>
      </c>
    </row>
    <row r="49" spans="1:9" ht="17.25" customHeight="1" x14ac:dyDescent="0.15">
      <c r="A49" s="35"/>
      <c r="B49" s="33"/>
      <c r="C49" s="33"/>
      <c r="D49" s="32"/>
      <c r="E49" s="33" t="s">
        <v>51</v>
      </c>
      <c r="F49" s="33"/>
      <c r="G49" s="33"/>
    </row>
    <row r="50" spans="1:9" ht="23.25" customHeight="1" x14ac:dyDescent="0.15">
      <c r="A50" s="23" t="s">
        <v>39</v>
      </c>
      <c r="B50" s="23" t="s">
        <v>40</v>
      </c>
      <c r="C50" s="23" t="s">
        <v>41</v>
      </c>
      <c r="D50" s="23" t="s">
        <v>195</v>
      </c>
      <c r="E50" s="23" t="s">
        <v>42</v>
      </c>
      <c r="F50" s="23" t="s">
        <v>43</v>
      </c>
      <c r="G50" s="23" t="s">
        <v>44</v>
      </c>
      <c r="H50" s="22"/>
      <c r="I50" s="21"/>
    </row>
    <row r="51" spans="1:9" ht="17.25" customHeight="1" x14ac:dyDescent="0.15">
      <c r="A51" s="30">
        <f>A46+B46</f>
        <v>0.72986111111111107</v>
      </c>
      <c r="B51" s="37">
        <v>6.9444444444444447E-4</v>
      </c>
      <c r="C51" s="33" t="s">
        <v>52</v>
      </c>
      <c r="D51" s="32" t="s">
        <v>196</v>
      </c>
      <c r="E51" s="33" t="s">
        <v>190</v>
      </c>
      <c r="F51" s="33"/>
      <c r="G51" s="33"/>
    </row>
    <row r="52" spans="1:9" ht="17.25" customHeight="1" x14ac:dyDescent="0.15">
      <c r="A52" s="30">
        <f>A51+B51</f>
        <v>0.73055555555555551</v>
      </c>
      <c r="B52" s="37">
        <v>1.3888888888888889E-3</v>
      </c>
      <c r="C52" s="33" t="s">
        <v>53</v>
      </c>
      <c r="D52" s="32" t="s">
        <v>196</v>
      </c>
      <c r="E52" s="33" t="s">
        <v>54</v>
      </c>
      <c r="F52" s="33" t="s">
        <v>114</v>
      </c>
      <c r="G52" s="34"/>
    </row>
    <row r="53" spans="1:9" ht="17.25" customHeight="1" x14ac:dyDescent="0.15">
      <c r="A53" s="30">
        <f>A52+B52</f>
        <v>0.7319444444444444</v>
      </c>
      <c r="B53" s="37">
        <v>1.3888888888888889E-3</v>
      </c>
      <c r="C53" s="33" t="s">
        <v>55</v>
      </c>
      <c r="D53" s="32" t="s">
        <v>196</v>
      </c>
      <c r="E53" s="33" t="s">
        <v>56</v>
      </c>
      <c r="F53" s="33"/>
      <c r="G53" s="34"/>
    </row>
    <row r="54" spans="1:9" ht="17.25" customHeight="1" x14ac:dyDescent="0.15">
      <c r="A54" s="30">
        <f>A53+B53</f>
        <v>0.73333333333333328</v>
      </c>
      <c r="B54" s="37">
        <v>6.9444444444444447E-4</v>
      </c>
      <c r="C54" s="33" t="s">
        <v>57</v>
      </c>
      <c r="D54" s="32" t="s">
        <v>173</v>
      </c>
      <c r="E54" s="33" t="s">
        <v>158</v>
      </c>
      <c r="F54" s="33"/>
      <c r="G54" s="33"/>
    </row>
    <row r="55" spans="1:9" ht="24" x14ac:dyDescent="0.15">
      <c r="A55" s="30">
        <f>A54+B54</f>
        <v>0.73402777777777772</v>
      </c>
      <c r="B55" s="37">
        <v>6.9444444444444447E-4</v>
      </c>
      <c r="C55" s="33" t="s">
        <v>58</v>
      </c>
      <c r="D55" s="32" t="s">
        <v>188</v>
      </c>
      <c r="E55" s="33" t="s">
        <v>159</v>
      </c>
      <c r="F55" s="33"/>
      <c r="G55" s="33"/>
    </row>
    <row r="56" spans="1:9" ht="24" x14ac:dyDescent="0.15">
      <c r="A56" s="30">
        <f>A55+B55</f>
        <v>0.73472222222222217</v>
      </c>
      <c r="B56" s="37">
        <v>6.9444444444444447E-4</v>
      </c>
      <c r="C56" s="33" t="s">
        <v>59</v>
      </c>
      <c r="D56" s="32" t="s">
        <v>199</v>
      </c>
      <c r="E56" s="33" t="s">
        <v>160</v>
      </c>
      <c r="F56" s="33"/>
      <c r="G56" s="33"/>
    </row>
    <row r="57" spans="1:9" ht="17.25" customHeight="1" x14ac:dyDescent="0.15">
      <c r="A57" s="35"/>
      <c r="B57" s="33"/>
      <c r="C57" s="33"/>
      <c r="D57" s="32" t="s">
        <v>196</v>
      </c>
      <c r="E57" s="33" t="s">
        <v>60</v>
      </c>
      <c r="F57" s="33"/>
      <c r="G57" s="33"/>
    </row>
    <row r="58" spans="1:9" ht="17.25" customHeight="1" x14ac:dyDescent="0.15">
      <c r="A58" s="51"/>
      <c r="B58" s="51"/>
      <c r="C58" s="54" t="s">
        <v>61</v>
      </c>
      <c r="D58" s="32" t="s">
        <v>196</v>
      </c>
      <c r="E58" s="33" t="s">
        <v>62</v>
      </c>
      <c r="F58" s="33"/>
      <c r="G58" s="64"/>
    </row>
    <row r="59" spans="1:9" ht="17.25" customHeight="1" x14ac:dyDescent="0.15">
      <c r="A59" s="51"/>
      <c r="B59" s="53"/>
      <c r="C59" s="54"/>
      <c r="D59" s="32"/>
      <c r="E59" s="36" t="s">
        <v>63</v>
      </c>
      <c r="F59" s="36" t="s">
        <v>206</v>
      </c>
      <c r="G59" s="64"/>
    </row>
    <row r="60" spans="1:9" ht="17.25" customHeight="1" x14ac:dyDescent="0.15">
      <c r="A60" s="51"/>
      <c r="B60" s="53"/>
      <c r="C60" s="54"/>
      <c r="D60" s="32"/>
      <c r="E60" s="36" t="s">
        <v>125</v>
      </c>
      <c r="F60" s="36" t="s">
        <v>206</v>
      </c>
      <c r="G60" s="64"/>
    </row>
    <row r="61" spans="1:9" ht="17.25" customHeight="1" x14ac:dyDescent="0.15">
      <c r="A61" s="52"/>
      <c r="B61" s="53"/>
      <c r="C61" s="54"/>
      <c r="D61" s="32"/>
      <c r="E61" s="36" t="s">
        <v>126</v>
      </c>
      <c r="F61" s="36" t="s">
        <v>206</v>
      </c>
      <c r="G61" s="64"/>
    </row>
    <row r="62" spans="1:9" ht="17.25" customHeight="1" x14ac:dyDescent="0.15">
      <c r="A62" s="30">
        <f>A56+B56</f>
        <v>0.73541666666666661</v>
      </c>
      <c r="B62" s="37">
        <v>5.5555555555555558E-3</v>
      </c>
      <c r="C62" s="33" t="s">
        <v>64</v>
      </c>
      <c r="D62" s="32" t="s">
        <v>196</v>
      </c>
      <c r="E62" s="33" t="s">
        <v>127</v>
      </c>
      <c r="F62" s="33"/>
      <c r="G62" s="33"/>
    </row>
    <row r="63" spans="1:9" ht="17.25" customHeight="1" x14ac:dyDescent="0.15">
      <c r="A63" s="30">
        <f>A62+B62</f>
        <v>0.74097222222222214</v>
      </c>
      <c r="B63" s="37">
        <v>4.1666666666666666E-3</v>
      </c>
      <c r="C63" s="33" t="s">
        <v>65</v>
      </c>
      <c r="D63" s="32" t="s">
        <v>196</v>
      </c>
      <c r="E63" s="33" t="s">
        <v>128</v>
      </c>
      <c r="F63" s="33"/>
      <c r="G63" s="33"/>
    </row>
    <row r="64" spans="1:9" ht="17.25" customHeight="1" x14ac:dyDescent="0.15">
      <c r="A64" s="30">
        <f>A63+B63</f>
        <v>0.7451388888888888</v>
      </c>
      <c r="B64" s="37">
        <v>4.1666666666666666E-3</v>
      </c>
      <c r="C64" s="33" t="s">
        <v>66</v>
      </c>
      <c r="D64" s="32" t="s">
        <v>196</v>
      </c>
      <c r="E64" s="33" t="s">
        <v>129</v>
      </c>
      <c r="F64" s="33"/>
      <c r="G64" s="33"/>
    </row>
    <row r="65" spans="1:7" ht="101.25" customHeight="1" x14ac:dyDescent="0.15">
      <c r="A65" s="30">
        <f>A64+B64</f>
        <v>0.74930555555555545</v>
      </c>
      <c r="B65" s="37">
        <v>6.9444444444444447E-4</v>
      </c>
      <c r="C65" s="33" t="s">
        <v>67</v>
      </c>
      <c r="D65" s="32" t="s">
        <v>196</v>
      </c>
      <c r="E65" s="40" t="s">
        <v>131</v>
      </c>
      <c r="F65" s="40" t="s">
        <v>192</v>
      </c>
      <c r="G65" s="34" t="s">
        <v>68</v>
      </c>
    </row>
    <row r="66" spans="1:7" ht="24" x14ac:dyDescent="0.15">
      <c r="A66" s="35"/>
      <c r="B66" s="33"/>
      <c r="C66" s="33"/>
      <c r="D66" s="32" t="s">
        <v>196</v>
      </c>
      <c r="E66" s="33" t="s">
        <v>130</v>
      </c>
      <c r="F66" s="33"/>
      <c r="G66" s="33"/>
    </row>
    <row r="67" spans="1:7" ht="36" x14ac:dyDescent="0.15">
      <c r="A67" s="30">
        <f>A65+B65</f>
        <v>0.74999999999999989</v>
      </c>
      <c r="B67" s="37">
        <v>2.0833333333333333E-3</v>
      </c>
      <c r="C67" s="33" t="s">
        <v>69</v>
      </c>
      <c r="D67" s="32" t="s">
        <v>198</v>
      </c>
      <c r="E67" s="33" t="s">
        <v>70</v>
      </c>
      <c r="F67" s="33"/>
      <c r="G67" s="34" t="s">
        <v>71</v>
      </c>
    </row>
    <row r="68" spans="1:7" ht="17.25" customHeight="1" x14ac:dyDescent="0.15">
      <c r="A68" s="35"/>
      <c r="B68" s="33"/>
      <c r="C68" s="33" t="s">
        <v>72</v>
      </c>
      <c r="D68" s="32" t="s">
        <v>196</v>
      </c>
      <c r="E68" s="33" t="s">
        <v>132</v>
      </c>
      <c r="F68" s="33"/>
      <c r="G68" s="33"/>
    </row>
    <row r="69" spans="1:7" ht="17.25" customHeight="1" x14ac:dyDescent="0.15">
      <c r="A69" s="35"/>
      <c r="B69" s="33"/>
      <c r="C69" s="33"/>
      <c r="D69" s="32"/>
      <c r="E69" s="33"/>
      <c r="F69" s="33"/>
      <c r="G69" s="33"/>
    </row>
    <row r="70" spans="1:7" ht="24" x14ac:dyDescent="0.15">
      <c r="A70" s="35"/>
      <c r="B70" s="33"/>
      <c r="C70" s="33"/>
      <c r="D70" s="32" t="s">
        <v>196</v>
      </c>
      <c r="E70" s="33" t="s">
        <v>133</v>
      </c>
      <c r="F70" s="33"/>
      <c r="G70" s="33"/>
    </row>
    <row r="71" spans="1:7" x14ac:dyDescent="0.15">
      <c r="A71" s="30">
        <f>A67+B67</f>
        <v>0.75208333333333321</v>
      </c>
      <c r="B71" s="37">
        <v>1.3888888888888889E-3</v>
      </c>
      <c r="C71" s="33" t="s">
        <v>69</v>
      </c>
      <c r="D71" s="32" t="s">
        <v>198</v>
      </c>
      <c r="E71" s="33" t="s">
        <v>70</v>
      </c>
      <c r="F71" s="33"/>
      <c r="G71" s="34"/>
    </row>
    <row r="72" spans="1:7" ht="17.25" customHeight="1" x14ac:dyDescent="0.15">
      <c r="A72" s="35"/>
      <c r="B72" s="33"/>
      <c r="C72" s="33" t="s">
        <v>73</v>
      </c>
      <c r="D72" s="32" t="s">
        <v>196</v>
      </c>
      <c r="E72" s="33" t="s">
        <v>134</v>
      </c>
      <c r="F72" s="33"/>
      <c r="G72" s="33"/>
    </row>
    <row r="73" spans="1:7" ht="17.25" customHeight="1" x14ac:dyDescent="0.15">
      <c r="A73" s="35"/>
      <c r="B73" s="33"/>
      <c r="C73" s="33"/>
      <c r="D73" s="32"/>
      <c r="E73" s="33"/>
      <c r="F73" s="33"/>
      <c r="G73" s="33"/>
    </row>
    <row r="74" spans="1:7" ht="17.25" customHeight="1" x14ac:dyDescent="0.15">
      <c r="A74" s="30">
        <f>A71+B71</f>
        <v>0.7534722222222221</v>
      </c>
      <c r="B74" s="37">
        <v>6.9444444444444447E-4</v>
      </c>
      <c r="C74" s="33" t="s">
        <v>74</v>
      </c>
      <c r="D74" s="32" t="s">
        <v>196</v>
      </c>
      <c r="E74" s="33" t="s">
        <v>135</v>
      </c>
      <c r="F74" s="33"/>
      <c r="G74" s="33"/>
    </row>
    <row r="75" spans="1:7" ht="36" x14ac:dyDescent="0.15">
      <c r="A75" s="35"/>
      <c r="B75" s="33"/>
      <c r="C75" s="35"/>
      <c r="D75" s="32" t="s">
        <v>200</v>
      </c>
      <c r="E75" s="36" t="s">
        <v>161</v>
      </c>
      <c r="F75" s="36"/>
      <c r="G75" s="33" t="s">
        <v>136</v>
      </c>
    </row>
    <row r="76" spans="1:7" ht="17.25" customHeight="1" x14ac:dyDescent="0.15">
      <c r="A76" s="35"/>
      <c r="B76" s="33"/>
      <c r="C76" s="35"/>
      <c r="D76" s="32" t="s">
        <v>200</v>
      </c>
      <c r="E76" s="36" t="s">
        <v>75</v>
      </c>
      <c r="F76" s="36"/>
      <c r="G76" s="33" t="s">
        <v>76</v>
      </c>
    </row>
    <row r="77" spans="1:7" ht="17.25" customHeight="1" x14ac:dyDescent="0.15">
      <c r="A77" s="30">
        <f>A74+B74</f>
        <v>0.75416666666666654</v>
      </c>
      <c r="B77" s="37">
        <v>6.9444444444444447E-4</v>
      </c>
      <c r="C77" s="33" t="s">
        <v>77</v>
      </c>
      <c r="D77" s="32" t="s">
        <v>196</v>
      </c>
      <c r="E77" s="33" t="s">
        <v>78</v>
      </c>
      <c r="F77" s="33"/>
      <c r="G77" s="33"/>
    </row>
    <row r="78" spans="1:7" x14ac:dyDescent="0.15">
      <c r="A78" s="35"/>
      <c r="B78" s="33"/>
      <c r="C78" s="33"/>
      <c r="D78" s="32"/>
      <c r="E78" s="41"/>
      <c r="F78" s="41" t="s">
        <v>162</v>
      </c>
      <c r="G78" s="33" t="s">
        <v>193</v>
      </c>
    </row>
    <row r="79" spans="1:7" ht="24" x14ac:dyDescent="0.15">
      <c r="A79" s="35"/>
      <c r="B79" s="33"/>
      <c r="C79" s="33"/>
      <c r="D79" s="32"/>
      <c r="E79" s="33"/>
      <c r="F79" s="33"/>
      <c r="G79" s="42" t="s">
        <v>163</v>
      </c>
    </row>
    <row r="80" spans="1:7" ht="17.25" customHeight="1" x14ac:dyDescent="0.15">
      <c r="A80" s="30"/>
      <c r="B80" s="37"/>
      <c r="C80" s="33" t="s">
        <v>79</v>
      </c>
      <c r="D80" s="32"/>
      <c r="E80" s="36" t="s">
        <v>80</v>
      </c>
      <c r="F80" s="36"/>
      <c r="G80" s="33"/>
    </row>
    <row r="81" spans="1:9" ht="24" x14ac:dyDescent="0.15">
      <c r="A81" s="35"/>
      <c r="B81" s="33"/>
      <c r="C81" s="33"/>
      <c r="D81" s="43" t="s">
        <v>202</v>
      </c>
      <c r="E81" s="36" t="s">
        <v>115</v>
      </c>
      <c r="F81" s="44"/>
      <c r="G81" s="33"/>
    </row>
    <row r="82" spans="1:9" ht="17.25" customHeight="1" x14ac:dyDescent="0.15">
      <c r="A82" s="30">
        <f>A77+B77</f>
        <v>0.75486111111111098</v>
      </c>
      <c r="B82" s="37">
        <v>3.472222222222222E-3</v>
      </c>
      <c r="C82" s="45" t="s">
        <v>81</v>
      </c>
      <c r="D82" s="43" t="s">
        <v>202</v>
      </c>
      <c r="E82" s="36" t="s">
        <v>137</v>
      </c>
      <c r="F82" s="44"/>
      <c r="G82" s="33"/>
    </row>
    <row r="83" spans="1:9" ht="17.25" customHeight="1" x14ac:dyDescent="0.15">
      <c r="A83" s="35"/>
      <c r="B83" s="33"/>
      <c r="C83" s="33"/>
      <c r="D83" s="43" t="s">
        <v>202</v>
      </c>
      <c r="E83" s="36" t="s">
        <v>82</v>
      </c>
      <c r="F83" s="44"/>
      <c r="G83" s="33"/>
    </row>
    <row r="84" spans="1:9" ht="36" x14ac:dyDescent="0.15">
      <c r="A84" s="35"/>
      <c r="B84" s="33"/>
      <c r="C84" s="33"/>
      <c r="D84" s="32" t="s">
        <v>200</v>
      </c>
      <c r="E84" s="36" t="s">
        <v>207</v>
      </c>
      <c r="F84" s="44"/>
      <c r="G84" s="33"/>
    </row>
    <row r="85" spans="1:9" ht="24" x14ac:dyDescent="0.15">
      <c r="A85" s="35"/>
      <c r="B85" s="33"/>
      <c r="C85" s="33"/>
      <c r="D85" s="43" t="s">
        <v>202</v>
      </c>
      <c r="E85" s="36" t="s">
        <v>208</v>
      </c>
      <c r="F85" s="44"/>
      <c r="G85" s="33"/>
    </row>
    <row r="86" spans="1:9" ht="24" x14ac:dyDescent="0.15">
      <c r="A86" s="35"/>
      <c r="B86" s="33"/>
      <c r="C86" s="31"/>
      <c r="D86" s="32" t="s">
        <v>210</v>
      </c>
      <c r="E86" s="36" t="s">
        <v>209</v>
      </c>
      <c r="F86" s="36"/>
      <c r="G86" s="33"/>
    </row>
    <row r="87" spans="1:9" ht="48" x14ac:dyDescent="0.15">
      <c r="A87" s="35"/>
      <c r="B87" s="33"/>
      <c r="C87" s="33" t="s">
        <v>83</v>
      </c>
      <c r="D87" s="43" t="s">
        <v>202</v>
      </c>
      <c r="E87" s="36" t="s">
        <v>138</v>
      </c>
      <c r="F87" s="44"/>
      <c r="G87" s="33" t="s">
        <v>144</v>
      </c>
    </row>
    <row r="88" spans="1:9" ht="48" x14ac:dyDescent="0.15">
      <c r="A88" s="35"/>
      <c r="B88" s="33"/>
      <c r="C88" s="32"/>
      <c r="D88" s="43" t="s">
        <v>202</v>
      </c>
      <c r="E88" s="44" t="s">
        <v>84</v>
      </c>
      <c r="F88" s="44"/>
      <c r="G88" s="15"/>
    </row>
    <row r="89" spans="1:9" x14ac:dyDescent="0.15">
      <c r="A89" s="35"/>
      <c r="B89" s="33"/>
      <c r="C89" s="32"/>
      <c r="D89" s="32"/>
      <c r="E89" s="44"/>
      <c r="F89" s="44"/>
      <c r="G89" s="15"/>
      <c r="H89" s="21"/>
    </row>
    <row r="90" spans="1:9" ht="23.25" customHeight="1" x14ac:dyDescent="0.15">
      <c r="A90" s="23" t="s">
        <v>39</v>
      </c>
      <c r="B90" s="23" t="s">
        <v>40</v>
      </c>
      <c r="C90" s="23" t="s">
        <v>41</v>
      </c>
      <c r="D90" s="23" t="s">
        <v>195</v>
      </c>
      <c r="E90" s="23" t="s">
        <v>42</v>
      </c>
      <c r="F90" s="23" t="s">
        <v>43</v>
      </c>
      <c r="G90" s="23" t="s">
        <v>44</v>
      </c>
      <c r="H90" s="22"/>
      <c r="I90" s="21"/>
    </row>
    <row r="91" spans="1:9" ht="17.25" customHeight="1" x14ac:dyDescent="0.15">
      <c r="A91" s="30">
        <f>A82+B82</f>
        <v>0.75833333333333319</v>
      </c>
      <c r="B91" s="37">
        <v>3.472222222222222E-3</v>
      </c>
      <c r="C91" s="45" t="s">
        <v>85</v>
      </c>
      <c r="D91" s="43" t="s">
        <v>202</v>
      </c>
      <c r="E91" s="36" t="s">
        <v>139</v>
      </c>
      <c r="F91" s="44"/>
      <c r="G91" s="15"/>
      <c r="H91" s="21"/>
    </row>
    <row r="92" spans="1:9" ht="17.25" customHeight="1" x14ac:dyDescent="0.15">
      <c r="A92" s="35"/>
      <c r="B92" s="33"/>
      <c r="C92" s="33"/>
      <c r="D92" s="43" t="s">
        <v>202</v>
      </c>
      <c r="E92" s="36" t="s">
        <v>86</v>
      </c>
      <c r="F92" s="44"/>
      <c r="G92" s="15"/>
    </row>
    <row r="93" spans="1:9" ht="24" x14ac:dyDescent="0.15">
      <c r="A93" s="35"/>
      <c r="B93" s="33"/>
      <c r="C93" s="33"/>
      <c r="D93" s="32" t="s">
        <v>200</v>
      </c>
      <c r="E93" s="36" t="s">
        <v>140</v>
      </c>
      <c r="F93" s="44"/>
      <c r="G93" s="33"/>
    </row>
    <row r="94" spans="1:9" ht="17.25" customHeight="1" x14ac:dyDescent="0.15">
      <c r="A94" s="35"/>
      <c r="B94" s="33"/>
      <c r="C94" s="33"/>
      <c r="D94" s="43" t="s">
        <v>202</v>
      </c>
      <c r="E94" s="36" t="s">
        <v>141</v>
      </c>
      <c r="F94" s="44"/>
      <c r="G94" s="33"/>
    </row>
    <row r="95" spans="1:9" ht="17.25" customHeight="1" x14ac:dyDescent="0.15">
      <c r="A95" s="35"/>
      <c r="B95" s="33"/>
      <c r="C95" s="33"/>
      <c r="D95" s="32" t="s">
        <v>203</v>
      </c>
      <c r="E95" s="44" t="s">
        <v>87</v>
      </c>
      <c r="F95" s="44"/>
      <c r="G95" s="33" t="s">
        <v>88</v>
      </c>
    </row>
    <row r="96" spans="1:9" ht="48" x14ac:dyDescent="0.15">
      <c r="A96" s="35"/>
      <c r="B96" s="33"/>
      <c r="C96" s="33" t="s">
        <v>83</v>
      </c>
      <c r="D96" s="43" t="s">
        <v>202</v>
      </c>
      <c r="E96" s="36" t="s">
        <v>142</v>
      </c>
      <c r="F96" s="44"/>
      <c r="G96" s="33" t="s">
        <v>144</v>
      </c>
    </row>
    <row r="97" spans="1:7" ht="48" x14ac:dyDescent="0.15">
      <c r="A97" s="35"/>
      <c r="B97" s="33"/>
      <c r="C97" s="33"/>
      <c r="D97" s="43" t="s">
        <v>202</v>
      </c>
      <c r="E97" s="44" t="s">
        <v>84</v>
      </c>
      <c r="F97" s="44"/>
      <c r="G97" s="33"/>
    </row>
    <row r="98" spans="1:7" x14ac:dyDescent="0.15">
      <c r="A98" s="35"/>
      <c r="B98" s="33"/>
      <c r="C98" s="33"/>
      <c r="D98" s="32"/>
      <c r="E98" s="44"/>
      <c r="F98" s="44"/>
      <c r="G98" s="33"/>
    </row>
    <row r="99" spans="1:7" ht="24" x14ac:dyDescent="0.15">
      <c r="A99" s="30">
        <f>A91+B91</f>
        <v>0.7618055555555554</v>
      </c>
      <c r="B99" s="37">
        <v>6.9444444444444447E-4</v>
      </c>
      <c r="C99" s="33" t="s">
        <v>167</v>
      </c>
      <c r="D99" s="43" t="s">
        <v>202</v>
      </c>
      <c r="E99" s="36" t="s">
        <v>89</v>
      </c>
      <c r="F99" s="36"/>
      <c r="G99" s="33" t="s">
        <v>90</v>
      </c>
    </row>
    <row r="100" spans="1:7" ht="24" x14ac:dyDescent="0.15">
      <c r="A100" s="35"/>
      <c r="B100" s="33"/>
      <c r="C100" s="33"/>
      <c r="D100" s="32"/>
      <c r="E100" s="36"/>
      <c r="F100" s="36" t="s">
        <v>91</v>
      </c>
      <c r="G100" s="34" t="s">
        <v>164</v>
      </c>
    </row>
    <row r="101" spans="1:7" ht="24" x14ac:dyDescent="0.15">
      <c r="A101" s="30">
        <f>A99+B99</f>
        <v>0.76249999999999984</v>
      </c>
      <c r="B101" s="37">
        <v>6.9444444444444447E-4</v>
      </c>
      <c r="C101" s="33" t="s">
        <v>92</v>
      </c>
      <c r="D101" s="32" t="s">
        <v>196</v>
      </c>
      <c r="E101" s="33" t="s">
        <v>93</v>
      </c>
      <c r="F101" s="33"/>
      <c r="G101" s="33"/>
    </row>
    <row r="102" spans="1:7" ht="17.25" customHeight="1" x14ac:dyDescent="0.15">
      <c r="A102" s="30">
        <f t="shared" ref="A102:A109" si="0">A101+B101</f>
        <v>0.76319444444444429</v>
      </c>
      <c r="B102" s="37">
        <v>6.9444444444444447E-4</v>
      </c>
      <c r="C102" s="33" t="s">
        <v>94</v>
      </c>
      <c r="D102" s="32" t="s">
        <v>196</v>
      </c>
      <c r="E102" s="33" t="s">
        <v>95</v>
      </c>
      <c r="F102" s="33"/>
      <c r="G102" s="33" t="s">
        <v>96</v>
      </c>
    </row>
    <row r="103" spans="1:7" ht="24" x14ac:dyDescent="0.15">
      <c r="A103" s="37">
        <f>A102+B102</f>
        <v>0.76388888888888873</v>
      </c>
      <c r="B103" s="37">
        <v>1.3888888888888889E-3</v>
      </c>
      <c r="C103" s="33" t="s">
        <v>97</v>
      </c>
      <c r="D103" s="32" t="s">
        <v>196</v>
      </c>
      <c r="E103" s="33" t="s">
        <v>143</v>
      </c>
      <c r="F103" s="33" t="s">
        <v>98</v>
      </c>
      <c r="G103" s="46" t="s">
        <v>165</v>
      </c>
    </row>
    <row r="104" spans="1:7" ht="17.25" customHeight="1" x14ac:dyDescent="0.15">
      <c r="A104" s="37"/>
      <c r="B104" s="37"/>
      <c r="C104" s="33"/>
      <c r="D104" s="32" t="s">
        <v>196</v>
      </c>
      <c r="E104" s="33" t="s">
        <v>145</v>
      </c>
      <c r="F104" s="33"/>
      <c r="G104" s="33" t="s">
        <v>99</v>
      </c>
    </row>
    <row r="105" spans="1:7" ht="17.25" customHeight="1" x14ac:dyDescent="0.15">
      <c r="A105" s="30"/>
      <c r="B105" s="37"/>
      <c r="C105" s="33"/>
      <c r="D105" s="32"/>
      <c r="E105" s="47"/>
      <c r="F105" s="47"/>
      <c r="G105" s="33"/>
    </row>
    <row r="106" spans="1:7" ht="17.25" customHeight="1" x14ac:dyDescent="0.15">
      <c r="A106" s="30">
        <f>A103+B103</f>
        <v>0.76527777777777761</v>
      </c>
      <c r="B106" s="37">
        <v>6.9444444444444447E-4</v>
      </c>
      <c r="C106" s="33" t="s">
        <v>100</v>
      </c>
      <c r="D106" s="32" t="s">
        <v>196</v>
      </c>
      <c r="E106" s="47" t="s">
        <v>116</v>
      </c>
      <c r="F106" s="47"/>
      <c r="G106" s="33"/>
    </row>
    <row r="107" spans="1:7" ht="17.25" customHeight="1" x14ac:dyDescent="0.15">
      <c r="A107" s="30">
        <f>A106+B106</f>
        <v>0.76597222222222205</v>
      </c>
      <c r="B107" s="37">
        <v>6.9444444444444447E-4</v>
      </c>
      <c r="C107" s="33"/>
      <c r="D107" s="32" t="s">
        <v>196</v>
      </c>
      <c r="E107" s="47" t="s">
        <v>174</v>
      </c>
      <c r="F107" s="47"/>
      <c r="G107" s="33"/>
    </row>
    <row r="108" spans="1:7" ht="17.25" customHeight="1" x14ac:dyDescent="0.15">
      <c r="A108" s="30">
        <f>A107+B107</f>
        <v>0.7666666666666665</v>
      </c>
      <c r="B108" s="37">
        <v>6.9444444444444447E-4</v>
      </c>
      <c r="C108" s="33" t="s">
        <v>101</v>
      </c>
      <c r="D108" s="32" t="s">
        <v>196</v>
      </c>
      <c r="E108" s="33" t="s">
        <v>205</v>
      </c>
      <c r="F108" s="33"/>
      <c r="G108" s="15"/>
    </row>
    <row r="109" spans="1:7" ht="17.25" customHeight="1" x14ac:dyDescent="0.15">
      <c r="A109" s="30">
        <f t="shared" si="0"/>
        <v>0.76736111111111094</v>
      </c>
      <c r="B109" s="37"/>
      <c r="C109" s="33" t="s">
        <v>102</v>
      </c>
      <c r="D109" s="32" t="s">
        <v>196</v>
      </c>
      <c r="E109" s="33" t="s">
        <v>103</v>
      </c>
      <c r="F109" s="33"/>
      <c r="G109" s="47"/>
    </row>
    <row r="110" spans="1:7" ht="17.25" customHeight="1" x14ac:dyDescent="0.15"/>
    <row r="111" spans="1:7" ht="17.25" customHeight="1" x14ac:dyDescent="0.15"/>
    <row r="112" spans="1:7" ht="17.25" customHeight="1" x14ac:dyDescent="0.15">
      <c r="E112" s="1" t="s">
        <v>104</v>
      </c>
    </row>
    <row r="113" spans="3:6" ht="17.25" customHeight="1" x14ac:dyDescent="0.15"/>
    <row r="114" spans="3:6" ht="17.25" customHeight="1" x14ac:dyDescent="0.15"/>
    <row r="115" spans="3:6" ht="17.25" customHeight="1" x14ac:dyDescent="0.15"/>
    <row r="116" spans="3:6" ht="17.25" customHeight="1" x14ac:dyDescent="0.15"/>
    <row r="117" spans="3:6" ht="13.5" x14ac:dyDescent="0.15">
      <c r="C117" s="10"/>
      <c r="D117" s="11"/>
      <c r="E117" s="10"/>
      <c r="F117" s="10"/>
    </row>
    <row r="118" spans="3:6" ht="13.5" x14ac:dyDescent="0.15">
      <c r="C118" s="10"/>
      <c r="D118" s="11"/>
      <c r="E118" s="10"/>
      <c r="F118" s="10"/>
    </row>
  </sheetData>
  <mergeCells count="15">
    <mergeCell ref="A58:A61"/>
    <mergeCell ref="B58:B61"/>
    <mergeCell ref="C58:C61"/>
    <mergeCell ref="A1:G1"/>
    <mergeCell ref="A3:G3"/>
    <mergeCell ref="C28:E28"/>
    <mergeCell ref="C29:D29"/>
    <mergeCell ref="C30:D30"/>
    <mergeCell ref="C31:D31"/>
    <mergeCell ref="G58:G61"/>
    <mergeCell ref="C32:D32"/>
    <mergeCell ref="C33:D33"/>
    <mergeCell ref="C34:D34"/>
    <mergeCell ref="C35:D35"/>
    <mergeCell ref="C36:D36"/>
  </mergeCells>
  <phoneticPr fontId="3"/>
  <printOptions horizontalCentered="1"/>
  <pageMargins left="0.59055118110236227" right="0.59055118110236227" top="0.82677165354330717" bottom="0.19685039370078741" header="0.55118110236220474" footer="0"/>
  <pageSetup paperSize="9" scale="61" fitToWidth="0" fitToHeight="2" orientation="landscape" verticalDpi="400" r:id="rId1"/>
  <headerFooter alignWithMargins="0">
    <oddHeader xml:space="preserve">&amp;C&amp;16&amp;K000000 </oddHeader>
  </headerFooter>
  <rowBreaks count="2" manualBreakCount="2">
    <brk id="49" max="6" man="1"/>
    <brk id="8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8CF5-227A-4B37-B0B6-4B230869B16A}">
  <dimension ref="A1:H119"/>
  <sheetViews>
    <sheetView tabSelected="1" view="pageBreakPreview" zoomScaleNormal="97" zoomScaleSheetLayoutView="100" workbookViewId="0">
      <selection activeCell="F10" sqref="F10"/>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8" width="8.375" style="2" customWidth="1"/>
    <col min="9" max="16384" width="13" style="1"/>
  </cols>
  <sheetData>
    <row r="1" spans="1:8" ht="21.75" customHeight="1" x14ac:dyDescent="0.15">
      <c r="A1" s="55" t="s">
        <v>211</v>
      </c>
      <c r="B1" s="55"/>
      <c r="C1" s="55"/>
      <c r="D1" s="55"/>
      <c r="E1" s="55"/>
      <c r="F1" s="55"/>
      <c r="G1" s="55"/>
      <c r="H1" s="1"/>
    </row>
    <row r="2" spans="1:8" x14ac:dyDescent="0.15">
      <c r="B2" s="2"/>
      <c r="G2" s="3">
        <f ca="1">NOW()</f>
        <v>44180.575225810186</v>
      </c>
    </row>
    <row r="3" spans="1:8" ht="21.75" customHeight="1" x14ac:dyDescent="0.15">
      <c r="A3" s="56" t="s">
        <v>119</v>
      </c>
      <c r="B3" s="56"/>
      <c r="C3" s="56"/>
      <c r="D3" s="56"/>
      <c r="E3" s="56"/>
      <c r="F3" s="56"/>
      <c r="G3" s="56"/>
      <c r="H3" s="1"/>
    </row>
    <row r="4" spans="1:8" ht="17.25" customHeight="1" x14ac:dyDescent="0.15">
      <c r="B4" s="2"/>
    </row>
    <row r="5" spans="1:8" ht="17.25" customHeight="1" x14ac:dyDescent="0.15">
      <c r="B5" s="2" t="s">
        <v>0</v>
      </c>
      <c r="C5" s="4" t="s">
        <v>1</v>
      </c>
      <c r="D5" s="5">
        <v>0.625</v>
      </c>
      <c r="E5" s="1" t="s">
        <v>184</v>
      </c>
      <c r="F5" s="13"/>
      <c r="G5" s="1" t="s">
        <v>105</v>
      </c>
      <c r="H5" s="5">
        <v>0.625</v>
      </c>
    </row>
    <row r="6" spans="1:8" ht="17.25" customHeight="1" x14ac:dyDescent="0.15">
      <c r="B6" s="2"/>
      <c r="C6" s="1" t="s">
        <v>148</v>
      </c>
      <c r="D6" s="5">
        <v>0.65625</v>
      </c>
      <c r="E6" s="1" t="s">
        <v>147</v>
      </c>
      <c r="H6" s="5">
        <v>0.65625</v>
      </c>
    </row>
    <row r="7" spans="1:8" ht="17.25" customHeight="1" x14ac:dyDescent="0.15">
      <c r="B7" s="2"/>
      <c r="D7" s="5">
        <v>0.6875</v>
      </c>
      <c r="H7" s="5">
        <v>0.6875</v>
      </c>
    </row>
    <row r="8" spans="1:8" ht="17.25" customHeight="1" x14ac:dyDescent="0.15">
      <c r="B8" s="2"/>
      <c r="D8" s="2" t="s">
        <v>2</v>
      </c>
      <c r="E8" s="1" t="s">
        <v>106</v>
      </c>
      <c r="H8" s="2" t="s">
        <v>2</v>
      </c>
    </row>
    <row r="9" spans="1:8" ht="17.25" customHeight="1" x14ac:dyDescent="0.15">
      <c r="B9" s="2"/>
    </row>
    <row r="10" spans="1:8" ht="17.25" customHeight="1" x14ac:dyDescent="0.15">
      <c r="B10" s="2" t="s">
        <v>3</v>
      </c>
      <c r="C10" s="4" t="s">
        <v>4</v>
      </c>
      <c r="E10" s="1" t="s">
        <v>186</v>
      </c>
    </row>
    <row r="11" spans="1:8" ht="17.25" customHeight="1" x14ac:dyDescent="0.15">
      <c r="B11" s="2"/>
      <c r="C11" s="6" t="s">
        <v>5</v>
      </c>
      <c r="E11" s="1" t="s">
        <v>185</v>
      </c>
    </row>
    <row r="12" spans="1:8" ht="17.25" customHeight="1" x14ac:dyDescent="0.15">
      <c r="B12" s="2"/>
      <c r="C12" s="6" t="s">
        <v>6</v>
      </c>
      <c r="E12" s="1" t="s">
        <v>121</v>
      </c>
      <c r="F12" s="1" t="s">
        <v>183</v>
      </c>
    </row>
    <row r="13" spans="1:8" ht="17.25" customHeight="1" x14ac:dyDescent="0.15">
      <c r="B13" s="2"/>
      <c r="C13" s="6" t="s">
        <v>107</v>
      </c>
      <c r="E13" s="1" t="s">
        <v>149</v>
      </c>
    </row>
    <row r="14" spans="1:8" ht="17.25" customHeight="1" x14ac:dyDescent="0.15">
      <c r="B14" s="2"/>
      <c r="C14" s="6" t="s">
        <v>7</v>
      </c>
      <c r="E14" s="1" t="s">
        <v>150</v>
      </c>
    </row>
    <row r="15" spans="1:8" ht="17.25" customHeight="1" x14ac:dyDescent="0.15">
      <c r="B15" s="2"/>
      <c r="C15" s="6" t="s">
        <v>8</v>
      </c>
      <c r="E15" s="1" t="s">
        <v>122</v>
      </c>
    </row>
    <row r="16" spans="1:8" ht="17.25" customHeight="1" x14ac:dyDescent="0.15">
      <c r="B16" s="2"/>
      <c r="C16" s="2" t="s">
        <v>9</v>
      </c>
    </row>
    <row r="17" spans="1:8" ht="17.25" customHeight="1" x14ac:dyDescent="0.15">
      <c r="B17" s="2" t="s">
        <v>3</v>
      </c>
      <c r="C17" s="4" t="s">
        <v>10</v>
      </c>
    </row>
    <row r="18" spans="1:8" ht="17.25" customHeight="1" x14ac:dyDescent="0.15">
      <c r="B18" s="2"/>
      <c r="C18" s="6" t="s">
        <v>11</v>
      </c>
      <c r="E18" s="1" t="s">
        <v>152</v>
      </c>
    </row>
    <row r="19" spans="1:8" ht="17.25" customHeight="1" x14ac:dyDescent="0.15">
      <c r="B19" s="2"/>
      <c r="C19" s="6" t="s">
        <v>12</v>
      </c>
      <c r="E19" s="1" t="s">
        <v>151</v>
      </c>
      <c r="F19" s="1" t="s">
        <v>13</v>
      </c>
    </row>
    <row r="20" spans="1:8" ht="17.25" customHeight="1" x14ac:dyDescent="0.15">
      <c r="B20" s="2" t="s">
        <v>3</v>
      </c>
      <c r="C20" s="4" t="s">
        <v>14</v>
      </c>
    </row>
    <row r="21" spans="1:8" ht="17.25" customHeight="1" x14ac:dyDescent="0.15">
      <c r="B21" s="2"/>
      <c r="C21" s="6" t="s">
        <v>15</v>
      </c>
      <c r="E21" s="1" t="s">
        <v>179</v>
      </c>
      <c r="F21" s="1" t="s">
        <v>180</v>
      </c>
    </row>
    <row r="22" spans="1:8" ht="17.25" customHeight="1" x14ac:dyDescent="0.15">
      <c r="B22" s="2"/>
      <c r="C22" s="6" t="s">
        <v>16</v>
      </c>
      <c r="E22" s="1" t="s">
        <v>178</v>
      </c>
      <c r="F22" s="1" t="s">
        <v>181</v>
      </c>
    </row>
    <row r="23" spans="1:8" ht="17.25" customHeight="1" x14ac:dyDescent="0.15">
      <c r="B23" s="2"/>
      <c r="C23" s="6" t="s">
        <v>171</v>
      </c>
      <c r="E23" s="1" t="s">
        <v>176</v>
      </c>
    </row>
    <row r="24" spans="1:8" ht="17.25" customHeight="1" x14ac:dyDescent="0.15">
      <c r="B24" s="2"/>
      <c r="C24" s="6" t="s">
        <v>172</v>
      </c>
      <c r="E24" s="1" t="s">
        <v>173</v>
      </c>
    </row>
    <row r="25" spans="1:8" ht="17.25" customHeight="1" x14ac:dyDescent="0.15">
      <c r="B25" s="2"/>
      <c r="C25" s="6" t="s">
        <v>17</v>
      </c>
      <c r="E25" s="1" t="s">
        <v>177</v>
      </c>
      <c r="F25" s="1" t="s">
        <v>108</v>
      </c>
    </row>
    <row r="26" spans="1:8" ht="17.25" customHeight="1" x14ac:dyDescent="0.15">
      <c r="B26" s="2"/>
      <c r="C26" s="6" t="s">
        <v>18</v>
      </c>
      <c r="E26" s="1" t="s">
        <v>182</v>
      </c>
    </row>
    <row r="27" spans="1:8" ht="17.25" customHeight="1" x14ac:dyDescent="0.15">
      <c r="C27" s="6" t="s">
        <v>187</v>
      </c>
      <c r="E27" s="1" t="s">
        <v>189</v>
      </c>
    </row>
    <row r="28" spans="1:8" ht="17.25" customHeight="1" x14ac:dyDescent="0.15">
      <c r="A28" s="2"/>
      <c r="B28" s="2" t="s">
        <v>19</v>
      </c>
      <c r="C28" s="57" t="s">
        <v>20</v>
      </c>
      <c r="D28" s="57"/>
      <c r="E28" s="57"/>
      <c r="F28" s="14"/>
      <c r="H28" s="1"/>
    </row>
    <row r="29" spans="1:8" ht="17.25" customHeight="1" x14ac:dyDescent="0.15">
      <c r="A29" s="8"/>
      <c r="B29" s="8"/>
      <c r="C29" s="58" t="s">
        <v>21</v>
      </c>
      <c r="D29" s="59"/>
      <c r="E29" s="20" t="s">
        <v>22</v>
      </c>
      <c r="F29" s="20" t="s">
        <v>23</v>
      </c>
      <c r="G29" s="20" t="s">
        <v>24</v>
      </c>
      <c r="H29" s="1"/>
    </row>
    <row r="30" spans="1:8" ht="17.25" customHeight="1" x14ac:dyDescent="0.15">
      <c r="C30" s="60" t="s">
        <v>25</v>
      </c>
      <c r="D30" s="61"/>
      <c r="E30" s="19" t="s">
        <v>26</v>
      </c>
      <c r="F30" s="19" t="s">
        <v>111</v>
      </c>
      <c r="G30" s="19" t="s">
        <v>27</v>
      </c>
      <c r="H30" s="1"/>
    </row>
    <row r="31" spans="1:8" ht="17.25" customHeight="1" x14ac:dyDescent="0.15">
      <c r="C31" s="62" t="s">
        <v>28</v>
      </c>
      <c r="D31" s="63"/>
      <c r="E31" s="12" t="s">
        <v>110</v>
      </c>
      <c r="F31" s="15" t="s">
        <v>112</v>
      </c>
      <c r="G31" s="15" t="s">
        <v>29</v>
      </c>
      <c r="H31" s="1"/>
    </row>
    <row r="32" spans="1:8" ht="17.25" customHeight="1" x14ac:dyDescent="0.15">
      <c r="C32" s="62" t="s">
        <v>30</v>
      </c>
      <c r="D32" s="63"/>
      <c r="E32" s="12" t="s">
        <v>109</v>
      </c>
      <c r="F32" s="15" t="s">
        <v>32</v>
      </c>
      <c r="G32" s="15" t="s">
        <v>31</v>
      </c>
      <c r="H32" s="1"/>
    </row>
    <row r="33" spans="1:8" ht="17.25" customHeight="1" x14ac:dyDescent="0.15">
      <c r="C33" s="62"/>
      <c r="D33" s="63"/>
      <c r="E33" s="15" t="s">
        <v>117</v>
      </c>
      <c r="F33" s="15" t="s">
        <v>35</v>
      </c>
      <c r="G33" s="15" t="s">
        <v>33</v>
      </c>
      <c r="H33" s="1"/>
    </row>
    <row r="34" spans="1:8" ht="17.25" customHeight="1" x14ac:dyDescent="0.15">
      <c r="C34" s="62"/>
      <c r="D34" s="63"/>
      <c r="E34" s="15" t="s">
        <v>34</v>
      </c>
      <c r="F34" s="15" t="s">
        <v>37</v>
      </c>
      <c r="G34" s="12" t="s">
        <v>123</v>
      </c>
      <c r="H34" s="1"/>
    </row>
    <row r="35" spans="1:8" ht="17.25" customHeight="1" x14ac:dyDescent="0.15">
      <c r="C35" s="62"/>
      <c r="D35" s="63"/>
      <c r="E35" s="15" t="s">
        <v>36</v>
      </c>
      <c r="F35" s="15" t="s">
        <v>38</v>
      </c>
      <c r="G35" s="12" t="s">
        <v>124</v>
      </c>
      <c r="H35" s="1"/>
    </row>
    <row r="36" spans="1:8" ht="17.25" customHeight="1" x14ac:dyDescent="0.15">
      <c r="C36" s="16"/>
      <c r="D36" s="17"/>
      <c r="E36" s="15"/>
      <c r="F36" s="15" t="s">
        <v>168</v>
      </c>
      <c r="G36" s="12"/>
      <c r="H36" s="18"/>
    </row>
    <row r="37" spans="1:8" ht="17.25" customHeight="1" x14ac:dyDescent="0.15">
      <c r="C37" s="65"/>
      <c r="D37" s="66"/>
      <c r="E37" s="15" t="s">
        <v>118</v>
      </c>
      <c r="F37" s="15" t="s">
        <v>169</v>
      </c>
      <c r="G37" s="15"/>
      <c r="H37" s="1"/>
    </row>
    <row r="38" spans="1:8" ht="18.75" customHeight="1" x14ac:dyDescent="0.15">
      <c r="B38" s="2"/>
    </row>
    <row r="39" spans="1:8" ht="23.25" customHeight="1" x14ac:dyDescent="0.15">
      <c r="A39" s="23" t="s">
        <v>39</v>
      </c>
      <c r="B39" s="23" t="s">
        <v>40</v>
      </c>
      <c r="C39" s="23" t="s">
        <v>41</v>
      </c>
      <c r="D39" s="23" t="s">
        <v>195</v>
      </c>
      <c r="E39" s="23" t="s">
        <v>42</v>
      </c>
      <c r="F39" s="23" t="s">
        <v>43</v>
      </c>
      <c r="G39" s="23" t="s">
        <v>44</v>
      </c>
      <c r="H39" s="23" t="s">
        <v>16</v>
      </c>
    </row>
    <row r="40" spans="1:8" ht="17.25" customHeight="1" x14ac:dyDescent="0.15">
      <c r="A40" s="24">
        <f>A41-B40</f>
        <v>0.70138888888888884</v>
      </c>
      <c r="B40" s="25">
        <v>2.0833333333333332E-2</v>
      </c>
      <c r="C40" s="26"/>
      <c r="D40" s="26"/>
      <c r="E40" s="27"/>
      <c r="F40" s="27" t="s">
        <v>45</v>
      </c>
      <c r="G40" s="26"/>
      <c r="H40" s="26"/>
    </row>
    <row r="41" spans="1:8" x14ac:dyDescent="0.15">
      <c r="A41" s="24">
        <f>A42-B41</f>
        <v>0.72222222222222221</v>
      </c>
      <c r="B41" s="25">
        <v>3.472222222222222E-3</v>
      </c>
      <c r="C41" s="26"/>
      <c r="D41" s="26"/>
      <c r="E41" s="28"/>
      <c r="F41" s="28" t="s">
        <v>154</v>
      </c>
      <c r="G41" s="29"/>
      <c r="H41" s="26"/>
    </row>
    <row r="42" spans="1:8" ht="24.75" customHeight="1" x14ac:dyDescent="0.15">
      <c r="A42" s="30">
        <f>A47-B42</f>
        <v>0.72569444444444442</v>
      </c>
      <c r="B42" s="25">
        <v>3.472222222222222E-3</v>
      </c>
      <c r="C42" s="31" t="s">
        <v>197</v>
      </c>
      <c r="D42" s="32" t="s">
        <v>196</v>
      </c>
      <c r="E42" s="33" t="s">
        <v>46</v>
      </c>
      <c r="F42" s="33"/>
      <c r="G42" s="34" t="s">
        <v>113</v>
      </c>
      <c r="H42" s="32" t="s">
        <v>191</v>
      </c>
    </row>
    <row r="43" spans="1:8" ht="24.75" customHeight="1" x14ac:dyDescent="0.15">
      <c r="A43" s="35"/>
      <c r="B43" s="33"/>
      <c r="C43" s="33"/>
      <c r="D43" s="32" t="s">
        <v>196</v>
      </c>
      <c r="E43" s="33" t="s">
        <v>47</v>
      </c>
      <c r="F43" s="33"/>
      <c r="G43" s="33" t="s">
        <v>48</v>
      </c>
      <c r="H43" s="32"/>
    </row>
    <row r="44" spans="1:8" ht="24" x14ac:dyDescent="0.15">
      <c r="A44" s="35"/>
      <c r="B44" s="33"/>
      <c r="C44" s="33"/>
      <c r="D44" s="32" t="s">
        <v>196</v>
      </c>
      <c r="E44" s="33" t="s">
        <v>49</v>
      </c>
      <c r="F44" s="33"/>
      <c r="G44" s="33"/>
      <c r="H44" s="32"/>
    </row>
    <row r="45" spans="1:8" ht="24" x14ac:dyDescent="0.15">
      <c r="A45" s="35"/>
      <c r="B45" s="33"/>
      <c r="C45" s="33"/>
      <c r="D45" s="32"/>
      <c r="E45" s="36"/>
      <c r="F45" s="48" t="s">
        <v>155</v>
      </c>
      <c r="G45" s="33" t="s">
        <v>156</v>
      </c>
      <c r="H45" s="32"/>
    </row>
    <row r="46" spans="1:8" ht="12.75" customHeight="1" x14ac:dyDescent="0.15">
      <c r="A46" s="35"/>
      <c r="B46" s="37"/>
      <c r="C46" s="33"/>
      <c r="D46" s="32"/>
      <c r="E46" s="36"/>
      <c r="F46" s="36"/>
      <c r="G46" s="33"/>
      <c r="H46" s="32"/>
    </row>
    <row r="47" spans="1:8" ht="48" x14ac:dyDescent="0.15">
      <c r="A47" s="30">
        <v>0.72916666666666663</v>
      </c>
      <c r="B47" s="37">
        <v>6.9444444444444447E-4</v>
      </c>
      <c r="C47" s="33" t="s">
        <v>166</v>
      </c>
      <c r="D47" s="32" t="s">
        <v>196</v>
      </c>
      <c r="E47" s="38" t="s">
        <v>175</v>
      </c>
      <c r="F47" s="39"/>
      <c r="G47" s="49" t="s">
        <v>170</v>
      </c>
      <c r="H47" s="32" t="s">
        <v>191</v>
      </c>
    </row>
    <row r="48" spans="1:8" ht="17.25" customHeight="1" x14ac:dyDescent="0.15">
      <c r="A48" s="35"/>
      <c r="B48" s="33"/>
      <c r="C48" s="33"/>
      <c r="D48" s="32"/>
      <c r="E48" s="36"/>
      <c r="F48" s="36"/>
      <c r="G48" s="33"/>
      <c r="H48" s="32"/>
    </row>
    <row r="49" spans="1:8" ht="24" x14ac:dyDescent="0.15">
      <c r="A49" s="35"/>
      <c r="B49" s="33"/>
      <c r="C49" s="33"/>
      <c r="D49" s="32"/>
      <c r="E49" s="36"/>
      <c r="F49" s="36"/>
      <c r="G49" s="33" t="s">
        <v>50</v>
      </c>
      <c r="H49" s="32"/>
    </row>
    <row r="50" spans="1:8" ht="23.25" customHeight="1" x14ac:dyDescent="0.15">
      <c r="A50" s="23" t="s">
        <v>39</v>
      </c>
      <c r="B50" s="23" t="s">
        <v>40</v>
      </c>
      <c r="C50" s="23" t="s">
        <v>41</v>
      </c>
      <c r="D50" s="23" t="s">
        <v>195</v>
      </c>
      <c r="E50" s="23" t="s">
        <v>42</v>
      </c>
      <c r="F50" s="23" t="s">
        <v>43</v>
      </c>
      <c r="G50" s="23" t="s">
        <v>44</v>
      </c>
      <c r="H50" s="23" t="s">
        <v>16</v>
      </c>
    </row>
    <row r="51" spans="1:8" ht="17.25" customHeight="1" x14ac:dyDescent="0.15">
      <c r="A51" s="35"/>
      <c r="B51" s="33"/>
      <c r="C51" s="33"/>
      <c r="D51" s="32"/>
      <c r="E51" s="33" t="s">
        <v>51</v>
      </c>
      <c r="F51" s="33"/>
      <c r="G51" s="33"/>
      <c r="H51" s="32"/>
    </row>
    <row r="52" spans="1:8" ht="17.25" customHeight="1" x14ac:dyDescent="0.15">
      <c r="A52" s="30">
        <f>A47+B47</f>
        <v>0.72986111111111107</v>
      </c>
      <c r="B52" s="37">
        <v>6.9444444444444447E-4</v>
      </c>
      <c r="C52" s="33" t="s">
        <v>52</v>
      </c>
      <c r="D52" s="32" t="s">
        <v>196</v>
      </c>
      <c r="E52" s="33" t="s">
        <v>190</v>
      </c>
      <c r="F52" s="33"/>
      <c r="G52" s="33"/>
      <c r="H52" s="32" t="s">
        <v>191</v>
      </c>
    </row>
    <row r="53" spans="1:8" ht="17.25" customHeight="1" x14ac:dyDescent="0.15">
      <c r="A53" s="30">
        <f>A52+B52</f>
        <v>0.73055555555555551</v>
      </c>
      <c r="B53" s="37">
        <v>1.3888888888888889E-3</v>
      </c>
      <c r="C53" s="33" t="s">
        <v>53</v>
      </c>
      <c r="D53" s="32" t="s">
        <v>196</v>
      </c>
      <c r="E53" s="33" t="s">
        <v>54</v>
      </c>
      <c r="F53" s="33" t="s">
        <v>114</v>
      </c>
      <c r="G53" s="34"/>
      <c r="H53" s="32" t="s">
        <v>191</v>
      </c>
    </row>
    <row r="54" spans="1:8" ht="17.25" customHeight="1" x14ac:dyDescent="0.15">
      <c r="A54" s="30">
        <f>A53+B53</f>
        <v>0.7319444444444444</v>
      </c>
      <c r="B54" s="37">
        <v>1.3888888888888889E-3</v>
      </c>
      <c r="C54" s="33" t="s">
        <v>55</v>
      </c>
      <c r="D54" s="32" t="s">
        <v>196</v>
      </c>
      <c r="E54" s="33" t="s">
        <v>56</v>
      </c>
      <c r="F54" s="33"/>
      <c r="G54" s="34"/>
      <c r="H54" s="32" t="s">
        <v>191</v>
      </c>
    </row>
    <row r="55" spans="1:8" ht="17.25" customHeight="1" x14ac:dyDescent="0.15">
      <c r="A55" s="30">
        <f>A54+B54</f>
        <v>0.73333333333333328</v>
      </c>
      <c r="B55" s="37">
        <v>6.9444444444444447E-4</v>
      </c>
      <c r="C55" s="33" t="s">
        <v>57</v>
      </c>
      <c r="D55" s="32" t="s">
        <v>173</v>
      </c>
      <c r="E55" s="33" t="s">
        <v>158</v>
      </c>
      <c r="F55" s="33"/>
      <c r="G55" s="33"/>
      <c r="H55" s="32" t="s">
        <v>191</v>
      </c>
    </row>
    <row r="56" spans="1:8" ht="24" x14ac:dyDescent="0.15">
      <c r="A56" s="30">
        <f>A55+B55</f>
        <v>0.73402777777777772</v>
      </c>
      <c r="B56" s="37">
        <v>6.9444444444444447E-4</v>
      </c>
      <c r="C56" s="33" t="s">
        <v>58</v>
      </c>
      <c r="D56" s="32" t="s">
        <v>188</v>
      </c>
      <c r="E56" s="33" t="s">
        <v>159</v>
      </c>
      <c r="F56" s="33"/>
      <c r="G56" s="33"/>
      <c r="H56" s="32" t="s">
        <v>191</v>
      </c>
    </row>
    <row r="57" spans="1:8" ht="24" x14ac:dyDescent="0.15">
      <c r="A57" s="30">
        <f>A56+B56</f>
        <v>0.73472222222222217</v>
      </c>
      <c r="B57" s="37">
        <v>6.9444444444444447E-4</v>
      </c>
      <c r="C57" s="33" t="s">
        <v>59</v>
      </c>
      <c r="D57" s="32" t="s">
        <v>199</v>
      </c>
      <c r="E57" s="33" t="s">
        <v>160</v>
      </c>
      <c r="F57" s="33"/>
      <c r="G57" s="33"/>
      <c r="H57" s="32" t="s">
        <v>191</v>
      </c>
    </row>
    <row r="58" spans="1:8" ht="17.25" customHeight="1" x14ac:dyDescent="0.15">
      <c r="A58" s="35"/>
      <c r="B58" s="33"/>
      <c r="C58" s="33"/>
      <c r="D58" s="32" t="s">
        <v>196</v>
      </c>
      <c r="E58" s="33" t="s">
        <v>60</v>
      </c>
      <c r="F58" s="33"/>
      <c r="G58" s="33"/>
      <c r="H58" s="32" t="s">
        <v>191</v>
      </c>
    </row>
    <row r="59" spans="1:8" ht="17.25" customHeight="1" x14ac:dyDescent="0.15">
      <c r="A59" s="51"/>
      <c r="B59" s="51"/>
      <c r="C59" s="54" t="s">
        <v>61</v>
      </c>
      <c r="D59" s="32" t="s">
        <v>196</v>
      </c>
      <c r="E59" s="33" t="s">
        <v>62</v>
      </c>
      <c r="F59" s="33"/>
      <c r="G59" s="64"/>
      <c r="H59" s="32" t="s">
        <v>191</v>
      </c>
    </row>
    <row r="60" spans="1:8" ht="17.25" customHeight="1" x14ac:dyDescent="0.15">
      <c r="A60" s="51"/>
      <c r="B60" s="53"/>
      <c r="C60" s="54"/>
      <c r="D60" s="32"/>
      <c r="E60" s="36" t="s">
        <v>63</v>
      </c>
      <c r="F60" s="36" t="s">
        <v>206</v>
      </c>
      <c r="G60" s="64"/>
      <c r="H60" s="32"/>
    </row>
    <row r="61" spans="1:8" ht="17.25" customHeight="1" x14ac:dyDescent="0.15">
      <c r="A61" s="51"/>
      <c r="B61" s="53"/>
      <c r="C61" s="54"/>
      <c r="D61" s="32"/>
      <c r="E61" s="36" t="s">
        <v>125</v>
      </c>
      <c r="F61" s="36" t="s">
        <v>206</v>
      </c>
      <c r="G61" s="64"/>
      <c r="H61" s="32"/>
    </row>
    <row r="62" spans="1:8" ht="17.25" customHeight="1" x14ac:dyDescent="0.15">
      <c r="A62" s="52"/>
      <c r="B62" s="53"/>
      <c r="C62" s="54"/>
      <c r="D62" s="32"/>
      <c r="E62" s="36" t="s">
        <v>126</v>
      </c>
      <c r="F62" s="36" t="s">
        <v>206</v>
      </c>
      <c r="G62" s="64"/>
      <c r="H62" s="32"/>
    </row>
    <row r="63" spans="1:8" ht="17.25" customHeight="1" x14ac:dyDescent="0.15">
      <c r="A63" s="30">
        <f>A57+B57</f>
        <v>0.73541666666666661</v>
      </c>
      <c r="B63" s="37">
        <v>5.5555555555555558E-3</v>
      </c>
      <c r="C63" s="33" t="s">
        <v>64</v>
      </c>
      <c r="D63" s="32" t="s">
        <v>196</v>
      </c>
      <c r="E63" s="33" t="s">
        <v>127</v>
      </c>
      <c r="F63" s="33"/>
      <c r="G63" s="33"/>
      <c r="H63" s="32" t="s">
        <v>191</v>
      </c>
    </row>
    <row r="64" spans="1:8" ht="17.25" customHeight="1" x14ac:dyDescent="0.15">
      <c r="A64" s="30">
        <f>A63+B63</f>
        <v>0.74097222222222214</v>
      </c>
      <c r="B64" s="37">
        <v>4.1666666666666666E-3</v>
      </c>
      <c r="C64" s="33" t="s">
        <v>65</v>
      </c>
      <c r="D64" s="32" t="s">
        <v>196</v>
      </c>
      <c r="E64" s="33" t="s">
        <v>128</v>
      </c>
      <c r="F64" s="33"/>
      <c r="G64" s="33"/>
      <c r="H64" s="32" t="s">
        <v>191</v>
      </c>
    </row>
    <row r="65" spans="1:8" ht="17.25" customHeight="1" x14ac:dyDescent="0.15">
      <c r="A65" s="30">
        <f>A64+B64</f>
        <v>0.7451388888888888</v>
      </c>
      <c r="B65" s="37">
        <v>4.1666666666666666E-3</v>
      </c>
      <c r="C65" s="33" t="s">
        <v>66</v>
      </c>
      <c r="D65" s="32" t="s">
        <v>196</v>
      </c>
      <c r="E65" s="33" t="s">
        <v>129</v>
      </c>
      <c r="F65" s="33"/>
      <c r="G65" s="33"/>
      <c r="H65" s="32" t="s">
        <v>191</v>
      </c>
    </row>
    <row r="66" spans="1:8" ht="101.25" customHeight="1" x14ac:dyDescent="0.15">
      <c r="A66" s="30">
        <f>A65+B65</f>
        <v>0.74930555555555545</v>
      </c>
      <c r="B66" s="37">
        <v>6.9444444444444447E-4</v>
      </c>
      <c r="C66" s="33" t="s">
        <v>67</v>
      </c>
      <c r="D66" s="32" t="s">
        <v>196</v>
      </c>
      <c r="E66" s="40" t="s">
        <v>131</v>
      </c>
      <c r="F66" s="40" t="s">
        <v>192</v>
      </c>
      <c r="G66" s="34" t="s">
        <v>68</v>
      </c>
      <c r="H66" s="32" t="s">
        <v>191</v>
      </c>
    </row>
    <row r="67" spans="1:8" ht="24" x14ac:dyDescent="0.15">
      <c r="A67" s="35"/>
      <c r="B67" s="33"/>
      <c r="C67" s="33"/>
      <c r="D67" s="32" t="s">
        <v>196</v>
      </c>
      <c r="E67" s="33" t="s">
        <v>130</v>
      </c>
      <c r="F67" s="33"/>
      <c r="G67" s="33"/>
      <c r="H67" s="32" t="s">
        <v>191</v>
      </c>
    </row>
    <row r="68" spans="1:8" ht="36" x14ac:dyDescent="0.15">
      <c r="A68" s="30">
        <f>A66+B66</f>
        <v>0.74999999999999989</v>
      </c>
      <c r="B68" s="37">
        <v>2.0833333333333333E-3</v>
      </c>
      <c r="C68" s="33" t="s">
        <v>69</v>
      </c>
      <c r="D68" s="32" t="s">
        <v>198</v>
      </c>
      <c r="E68" s="33" t="s">
        <v>70</v>
      </c>
      <c r="F68" s="33"/>
      <c r="G68" s="34" t="s">
        <v>71</v>
      </c>
      <c r="H68" s="32" t="s">
        <v>191</v>
      </c>
    </row>
    <row r="69" spans="1:8" ht="17.25" customHeight="1" x14ac:dyDescent="0.15">
      <c r="A69" s="35"/>
      <c r="B69" s="33"/>
      <c r="C69" s="33" t="s">
        <v>72</v>
      </c>
      <c r="D69" s="32" t="s">
        <v>196</v>
      </c>
      <c r="E69" s="33" t="s">
        <v>132</v>
      </c>
      <c r="F69" s="33"/>
      <c r="G69" s="33"/>
      <c r="H69" s="32" t="s">
        <v>191</v>
      </c>
    </row>
    <row r="70" spans="1:8" ht="17.25" customHeight="1" x14ac:dyDescent="0.15">
      <c r="A70" s="35"/>
      <c r="B70" s="33"/>
      <c r="C70" s="33"/>
      <c r="D70" s="32"/>
      <c r="E70" s="33"/>
      <c r="F70" s="33"/>
      <c r="G70" s="33"/>
      <c r="H70" s="32"/>
    </row>
    <row r="71" spans="1:8" ht="24" x14ac:dyDescent="0.15">
      <c r="A71" s="35"/>
      <c r="B71" s="33"/>
      <c r="C71" s="33"/>
      <c r="D71" s="32" t="s">
        <v>196</v>
      </c>
      <c r="E71" s="33" t="s">
        <v>133</v>
      </c>
      <c r="F71" s="33"/>
      <c r="G71" s="33"/>
      <c r="H71" s="32" t="s">
        <v>191</v>
      </c>
    </row>
    <row r="72" spans="1:8" x14ac:dyDescent="0.15">
      <c r="A72" s="30">
        <f>A68+B68</f>
        <v>0.75208333333333321</v>
      </c>
      <c r="B72" s="37">
        <v>1.3888888888888889E-3</v>
      </c>
      <c r="C72" s="33" t="s">
        <v>69</v>
      </c>
      <c r="D72" s="32" t="s">
        <v>198</v>
      </c>
      <c r="E72" s="33" t="s">
        <v>70</v>
      </c>
      <c r="F72" s="33"/>
      <c r="G72" s="34"/>
      <c r="H72" s="32" t="s">
        <v>191</v>
      </c>
    </row>
    <row r="73" spans="1:8" ht="17.25" customHeight="1" x14ac:dyDescent="0.15">
      <c r="A73" s="35"/>
      <c r="B73" s="33"/>
      <c r="C73" s="33" t="s">
        <v>73</v>
      </c>
      <c r="D73" s="32" t="s">
        <v>196</v>
      </c>
      <c r="E73" s="33" t="s">
        <v>134</v>
      </c>
      <c r="F73" s="33"/>
      <c r="G73" s="33"/>
      <c r="H73" s="32" t="s">
        <v>191</v>
      </c>
    </row>
    <row r="74" spans="1:8" ht="17.25" customHeight="1" x14ac:dyDescent="0.15">
      <c r="A74" s="35"/>
      <c r="B74" s="33"/>
      <c r="C74" s="33"/>
      <c r="D74" s="32"/>
      <c r="E74" s="33"/>
      <c r="F74" s="33"/>
      <c r="G74" s="33"/>
      <c r="H74" s="32"/>
    </row>
    <row r="75" spans="1:8" ht="17.25" customHeight="1" x14ac:dyDescent="0.15">
      <c r="A75" s="30">
        <f>A72+B72</f>
        <v>0.7534722222222221</v>
      </c>
      <c r="B75" s="37">
        <v>6.9444444444444447E-4</v>
      </c>
      <c r="C75" s="33" t="s">
        <v>74</v>
      </c>
      <c r="D75" s="32" t="s">
        <v>196</v>
      </c>
      <c r="E75" s="33" t="s">
        <v>201</v>
      </c>
      <c r="F75" s="33"/>
      <c r="G75" s="33"/>
      <c r="H75" s="32" t="s">
        <v>191</v>
      </c>
    </row>
    <row r="76" spans="1:8" ht="36" x14ac:dyDescent="0.15">
      <c r="A76" s="35"/>
      <c r="B76" s="33"/>
      <c r="C76" s="35"/>
      <c r="D76" s="32" t="s">
        <v>200</v>
      </c>
      <c r="E76" s="36" t="s">
        <v>161</v>
      </c>
      <c r="F76" s="36"/>
      <c r="G76" s="33" t="s">
        <v>136</v>
      </c>
      <c r="H76" s="32" t="s">
        <v>191</v>
      </c>
    </row>
    <row r="77" spans="1:8" ht="17.25" customHeight="1" x14ac:dyDescent="0.15">
      <c r="A77" s="35"/>
      <c r="B77" s="33"/>
      <c r="C77" s="35"/>
      <c r="D77" s="32" t="s">
        <v>200</v>
      </c>
      <c r="E77" s="36" t="s">
        <v>75</v>
      </c>
      <c r="F77" s="36"/>
      <c r="G77" s="33" t="s">
        <v>76</v>
      </c>
      <c r="H77" s="32" t="s">
        <v>191</v>
      </c>
    </row>
    <row r="78" spans="1:8" ht="17.25" customHeight="1" x14ac:dyDescent="0.15">
      <c r="A78" s="30">
        <f>A75+B75</f>
        <v>0.75416666666666654</v>
      </c>
      <c r="B78" s="37">
        <v>6.9444444444444447E-4</v>
      </c>
      <c r="C78" s="33" t="s">
        <v>77</v>
      </c>
      <c r="D78" s="32" t="s">
        <v>196</v>
      </c>
      <c r="E78" s="33" t="s">
        <v>78</v>
      </c>
      <c r="F78" s="33"/>
      <c r="G78" s="33"/>
      <c r="H78" s="32" t="s">
        <v>191</v>
      </c>
    </row>
    <row r="79" spans="1:8" x14ac:dyDescent="0.15">
      <c r="A79" s="35"/>
      <c r="B79" s="33"/>
      <c r="C79" s="33"/>
      <c r="D79" s="32"/>
      <c r="E79" s="41"/>
      <c r="F79" s="41" t="s">
        <v>162</v>
      </c>
      <c r="G79" s="33" t="s">
        <v>193</v>
      </c>
      <c r="H79" s="32"/>
    </row>
    <row r="80" spans="1:8" ht="24" x14ac:dyDescent="0.15">
      <c r="A80" s="35"/>
      <c r="B80" s="33"/>
      <c r="C80" s="33"/>
      <c r="D80" s="32"/>
      <c r="E80" s="33"/>
      <c r="F80" s="33"/>
      <c r="G80" s="42" t="s">
        <v>194</v>
      </c>
      <c r="H80" s="32"/>
    </row>
    <row r="81" spans="1:8" ht="17.25" customHeight="1" x14ac:dyDescent="0.15">
      <c r="A81" s="30"/>
      <c r="B81" s="37"/>
      <c r="C81" s="33" t="s">
        <v>79</v>
      </c>
      <c r="D81" s="32"/>
      <c r="E81" s="36" t="s">
        <v>80</v>
      </c>
      <c r="F81" s="36"/>
      <c r="G81" s="33"/>
      <c r="H81" s="32"/>
    </row>
    <row r="82" spans="1:8" ht="24" x14ac:dyDescent="0.15">
      <c r="A82" s="35"/>
      <c r="B82" s="33"/>
      <c r="C82" s="33"/>
      <c r="D82" s="43" t="s">
        <v>202</v>
      </c>
      <c r="E82" s="36" t="s">
        <v>115</v>
      </c>
      <c r="F82" s="44"/>
      <c r="G82" s="33"/>
      <c r="H82" s="32" t="s">
        <v>191</v>
      </c>
    </row>
    <row r="83" spans="1:8" ht="17.25" customHeight="1" x14ac:dyDescent="0.15">
      <c r="A83" s="30">
        <f>A78+B78</f>
        <v>0.75486111111111098</v>
      </c>
      <c r="B83" s="37">
        <v>3.472222222222222E-3</v>
      </c>
      <c r="C83" s="45" t="s">
        <v>81</v>
      </c>
      <c r="D83" s="43" t="s">
        <v>202</v>
      </c>
      <c r="E83" s="36" t="s">
        <v>137</v>
      </c>
      <c r="F83" s="44"/>
      <c r="G83" s="33"/>
      <c r="H83" s="32" t="s">
        <v>191</v>
      </c>
    </row>
    <row r="84" spans="1:8" ht="17.25" customHeight="1" x14ac:dyDescent="0.15">
      <c r="A84" s="35"/>
      <c r="B84" s="33"/>
      <c r="C84" s="33"/>
      <c r="D84" s="43" t="s">
        <v>202</v>
      </c>
      <c r="E84" s="36" t="s">
        <v>82</v>
      </c>
      <c r="F84" s="44"/>
      <c r="G84" s="33"/>
      <c r="H84" s="32" t="s">
        <v>191</v>
      </c>
    </row>
    <row r="85" spans="1:8" ht="36" x14ac:dyDescent="0.15">
      <c r="A85" s="35"/>
      <c r="B85" s="33"/>
      <c r="C85" s="33"/>
      <c r="D85" s="32" t="s">
        <v>200</v>
      </c>
      <c r="E85" s="36" t="s">
        <v>207</v>
      </c>
      <c r="F85" s="44"/>
      <c r="G85" s="33"/>
      <c r="H85" s="32" t="s">
        <v>191</v>
      </c>
    </row>
    <row r="86" spans="1:8" ht="24" x14ac:dyDescent="0.15">
      <c r="A86" s="35"/>
      <c r="B86" s="33"/>
      <c r="C86" s="33"/>
      <c r="D86" s="43" t="s">
        <v>202</v>
      </c>
      <c r="E86" s="36" t="s">
        <v>208</v>
      </c>
      <c r="F86" s="44"/>
      <c r="G86" s="33"/>
      <c r="H86" s="32" t="s">
        <v>191</v>
      </c>
    </row>
    <row r="87" spans="1:8" ht="24" x14ac:dyDescent="0.15">
      <c r="A87" s="35"/>
      <c r="B87" s="33"/>
      <c r="C87" s="31"/>
      <c r="D87" s="32" t="s">
        <v>153</v>
      </c>
      <c r="E87" s="36" t="s">
        <v>209</v>
      </c>
      <c r="F87" s="36"/>
      <c r="G87" s="33"/>
      <c r="H87" s="32" t="s">
        <v>191</v>
      </c>
    </row>
    <row r="88" spans="1:8" ht="48" x14ac:dyDescent="0.15">
      <c r="A88" s="35"/>
      <c r="B88" s="33"/>
      <c r="C88" s="33" t="s">
        <v>83</v>
      </c>
      <c r="D88" s="43" t="s">
        <v>202</v>
      </c>
      <c r="E88" s="36" t="s">
        <v>138</v>
      </c>
      <c r="F88" s="44"/>
      <c r="G88" s="33" t="s">
        <v>144</v>
      </c>
      <c r="H88" s="32" t="s">
        <v>191</v>
      </c>
    </row>
    <row r="89" spans="1:8" ht="48" x14ac:dyDescent="0.15">
      <c r="A89" s="35"/>
      <c r="B89" s="33"/>
      <c r="C89" s="32"/>
      <c r="D89" s="43" t="s">
        <v>202</v>
      </c>
      <c r="E89" s="44" t="s">
        <v>84</v>
      </c>
      <c r="F89" s="44"/>
      <c r="G89" s="15"/>
      <c r="H89" s="32" t="s">
        <v>191</v>
      </c>
    </row>
    <row r="90" spans="1:8" x14ac:dyDescent="0.15">
      <c r="A90" s="35"/>
      <c r="B90" s="33"/>
      <c r="C90" s="32"/>
      <c r="D90" s="32"/>
      <c r="E90" s="44"/>
      <c r="F90" s="44"/>
      <c r="G90" s="15"/>
      <c r="H90" s="32"/>
    </row>
    <row r="91" spans="1:8" ht="23.25" customHeight="1" x14ac:dyDescent="0.15">
      <c r="A91" s="23" t="s">
        <v>39</v>
      </c>
      <c r="B91" s="23" t="s">
        <v>40</v>
      </c>
      <c r="C91" s="23" t="s">
        <v>41</v>
      </c>
      <c r="D91" s="23" t="s">
        <v>195</v>
      </c>
      <c r="E91" s="23" t="s">
        <v>42</v>
      </c>
      <c r="F91" s="23" t="s">
        <v>43</v>
      </c>
      <c r="G91" s="23" t="s">
        <v>44</v>
      </c>
      <c r="H91" s="23" t="s">
        <v>16</v>
      </c>
    </row>
    <row r="92" spans="1:8" ht="17.25" customHeight="1" x14ac:dyDescent="0.15">
      <c r="A92" s="30">
        <f>A83+B83</f>
        <v>0.75833333333333319</v>
      </c>
      <c r="B92" s="37">
        <v>3.472222222222222E-3</v>
      </c>
      <c r="C92" s="45" t="s">
        <v>85</v>
      </c>
      <c r="D92" s="43" t="s">
        <v>202</v>
      </c>
      <c r="E92" s="36" t="s">
        <v>139</v>
      </c>
      <c r="F92" s="44"/>
      <c r="G92" s="15"/>
      <c r="H92" s="32" t="s">
        <v>191</v>
      </c>
    </row>
    <row r="93" spans="1:8" ht="17.25" customHeight="1" x14ac:dyDescent="0.15">
      <c r="A93" s="35"/>
      <c r="B93" s="33"/>
      <c r="C93" s="33"/>
      <c r="D93" s="43" t="s">
        <v>202</v>
      </c>
      <c r="E93" s="36" t="s">
        <v>86</v>
      </c>
      <c r="F93" s="44"/>
      <c r="G93" s="15"/>
      <c r="H93" s="32" t="s">
        <v>191</v>
      </c>
    </row>
    <row r="94" spans="1:8" ht="24" x14ac:dyDescent="0.15">
      <c r="A94" s="35"/>
      <c r="B94" s="33"/>
      <c r="C94" s="33"/>
      <c r="D94" s="32" t="s">
        <v>200</v>
      </c>
      <c r="E94" s="36" t="s">
        <v>140</v>
      </c>
      <c r="F94" s="44"/>
      <c r="G94" s="33"/>
      <c r="H94" s="32" t="s">
        <v>191</v>
      </c>
    </row>
    <row r="95" spans="1:8" ht="17.25" customHeight="1" x14ac:dyDescent="0.15">
      <c r="A95" s="35"/>
      <c r="B95" s="33"/>
      <c r="C95" s="33"/>
      <c r="D95" s="43" t="s">
        <v>202</v>
      </c>
      <c r="E95" s="36" t="s">
        <v>141</v>
      </c>
      <c r="F95" s="44"/>
      <c r="G95" s="33"/>
      <c r="H95" s="32" t="s">
        <v>191</v>
      </c>
    </row>
    <row r="96" spans="1:8" ht="17.25" customHeight="1" x14ac:dyDescent="0.15">
      <c r="A96" s="35"/>
      <c r="B96" s="33"/>
      <c r="C96" s="33"/>
      <c r="D96" s="32" t="s">
        <v>203</v>
      </c>
      <c r="E96" s="44" t="s">
        <v>87</v>
      </c>
      <c r="F96" s="44"/>
      <c r="G96" s="33" t="s">
        <v>88</v>
      </c>
      <c r="H96" s="32" t="s">
        <v>191</v>
      </c>
    </row>
    <row r="97" spans="1:8" ht="48" x14ac:dyDescent="0.15">
      <c r="A97" s="35"/>
      <c r="B97" s="33"/>
      <c r="C97" s="33" t="s">
        <v>83</v>
      </c>
      <c r="D97" s="43" t="s">
        <v>202</v>
      </c>
      <c r="E97" s="36" t="s">
        <v>142</v>
      </c>
      <c r="F97" s="44"/>
      <c r="G97" s="33" t="s">
        <v>144</v>
      </c>
      <c r="H97" s="32" t="s">
        <v>191</v>
      </c>
    </row>
    <row r="98" spans="1:8" ht="48" x14ac:dyDescent="0.15">
      <c r="A98" s="35"/>
      <c r="B98" s="33"/>
      <c r="C98" s="33"/>
      <c r="D98" s="43" t="s">
        <v>202</v>
      </c>
      <c r="E98" s="44" t="s">
        <v>84</v>
      </c>
      <c r="F98" s="44"/>
      <c r="G98" s="33"/>
      <c r="H98" s="32" t="s">
        <v>191</v>
      </c>
    </row>
    <row r="99" spans="1:8" x14ac:dyDescent="0.15">
      <c r="A99" s="35"/>
      <c r="B99" s="33"/>
      <c r="C99" s="33"/>
      <c r="D99" s="32"/>
      <c r="E99" s="44"/>
      <c r="F99" s="44"/>
      <c r="G99" s="33"/>
      <c r="H99" s="32" t="s">
        <v>191</v>
      </c>
    </row>
    <row r="100" spans="1:8" ht="24" x14ac:dyDescent="0.15">
      <c r="A100" s="30">
        <f>A92+B92</f>
        <v>0.7618055555555554</v>
      </c>
      <c r="B100" s="37">
        <v>6.9444444444444447E-4</v>
      </c>
      <c r="C100" s="33" t="s">
        <v>167</v>
      </c>
      <c r="D100" s="43" t="s">
        <v>202</v>
      </c>
      <c r="E100" s="36" t="s">
        <v>89</v>
      </c>
      <c r="F100" s="36"/>
      <c r="G100" s="33" t="s">
        <v>90</v>
      </c>
      <c r="H100" s="32"/>
    </row>
    <row r="101" spans="1:8" ht="24" x14ac:dyDescent="0.15">
      <c r="A101" s="35"/>
      <c r="B101" s="33"/>
      <c r="C101" s="33"/>
      <c r="D101" s="32"/>
      <c r="E101" s="36"/>
      <c r="F101" s="36" t="s">
        <v>91</v>
      </c>
      <c r="G101" s="50" t="s">
        <v>164</v>
      </c>
      <c r="H101" s="32" t="s">
        <v>191</v>
      </c>
    </row>
    <row r="102" spans="1:8" ht="24" x14ac:dyDescent="0.15">
      <c r="A102" s="30">
        <f>A100+B100</f>
        <v>0.76249999999999984</v>
      </c>
      <c r="B102" s="37">
        <v>6.9444444444444447E-4</v>
      </c>
      <c r="C102" s="33" t="s">
        <v>92</v>
      </c>
      <c r="D102" s="32" t="s">
        <v>196</v>
      </c>
      <c r="E102" s="33" t="s">
        <v>204</v>
      </c>
      <c r="F102" s="33"/>
      <c r="G102" s="33"/>
      <c r="H102" s="32" t="s">
        <v>191</v>
      </c>
    </row>
    <row r="103" spans="1:8" ht="17.25" customHeight="1" x14ac:dyDescent="0.15">
      <c r="A103" s="30">
        <f t="shared" ref="A103:A110" si="0">A102+B102</f>
        <v>0.76319444444444429</v>
      </c>
      <c r="B103" s="37">
        <v>6.9444444444444447E-4</v>
      </c>
      <c r="C103" s="33" t="s">
        <v>94</v>
      </c>
      <c r="D103" s="32" t="s">
        <v>196</v>
      </c>
      <c r="E103" s="33" t="s">
        <v>95</v>
      </c>
      <c r="F103" s="33"/>
      <c r="G103" s="33" t="s">
        <v>96</v>
      </c>
      <c r="H103" s="32" t="s">
        <v>191</v>
      </c>
    </row>
    <row r="104" spans="1:8" ht="24" x14ac:dyDescent="0.15">
      <c r="A104" s="37">
        <f>A103+B103</f>
        <v>0.76388888888888873</v>
      </c>
      <c r="B104" s="37">
        <v>1.3888888888888889E-3</v>
      </c>
      <c r="C104" s="33" t="s">
        <v>97</v>
      </c>
      <c r="D104" s="32" t="s">
        <v>196</v>
      </c>
      <c r="E104" s="33" t="s">
        <v>143</v>
      </c>
      <c r="F104" s="33" t="s">
        <v>98</v>
      </c>
      <c r="G104" s="46" t="s">
        <v>165</v>
      </c>
      <c r="H104" s="32" t="s">
        <v>191</v>
      </c>
    </row>
    <row r="105" spans="1:8" ht="17.25" customHeight="1" x14ac:dyDescent="0.15">
      <c r="A105" s="37"/>
      <c r="B105" s="37"/>
      <c r="C105" s="33"/>
      <c r="D105" s="32" t="s">
        <v>196</v>
      </c>
      <c r="E105" s="33" t="s">
        <v>145</v>
      </c>
      <c r="F105" s="33"/>
      <c r="G105" s="33" t="s">
        <v>99</v>
      </c>
      <c r="H105" s="32" t="s">
        <v>191</v>
      </c>
    </row>
    <row r="106" spans="1:8" ht="17.25" customHeight="1" x14ac:dyDescent="0.15">
      <c r="A106" s="30"/>
      <c r="B106" s="37"/>
      <c r="C106" s="33"/>
      <c r="D106" s="32"/>
      <c r="E106" s="47"/>
      <c r="F106" s="47"/>
      <c r="G106" s="33"/>
      <c r="H106" s="32"/>
    </row>
    <row r="107" spans="1:8" ht="17.25" customHeight="1" x14ac:dyDescent="0.15">
      <c r="A107" s="30">
        <f>A104+B104</f>
        <v>0.76527777777777761</v>
      </c>
      <c r="B107" s="37">
        <v>6.9444444444444447E-4</v>
      </c>
      <c r="C107" s="33" t="s">
        <v>100</v>
      </c>
      <c r="D107" s="32" t="s">
        <v>196</v>
      </c>
      <c r="E107" s="47" t="s">
        <v>116</v>
      </c>
      <c r="F107" s="47"/>
      <c r="G107" s="33"/>
      <c r="H107" s="32" t="s">
        <v>191</v>
      </c>
    </row>
    <row r="108" spans="1:8" ht="17.25" customHeight="1" x14ac:dyDescent="0.15">
      <c r="A108" s="30">
        <f>A107+B107</f>
        <v>0.76597222222222205</v>
      </c>
      <c r="B108" s="37">
        <v>6.9444444444444447E-4</v>
      </c>
      <c r="C108" s="33"/>
      <c r="D108" s="32" t="s">
        <v>196</v>
      </c>
      <c r="E108" s="47" t="s">
        <v>174</v>
      </c>
      <c r="F108" s="47"/>
      <c r="G108" s="33"/>
      <c r="H108" s="32" t="s">
        <v>191</v>
      </c>
    </row>
    <row r="109" spans="1:8" ht="17.25" customHeight="1" x14ac:dyDescent="0.15">
      <c r="A109" s="30">
        <f>A108+B108</f>
        <v>0.7666666666666665</v>
      </c>
      <c r="B109" s="37">
        <v>6.9444444444444447E-4</v>
      </c>
      <c r="C109" s="33" t="s">
        <v>101</v>
      </c>
      <c r="D109" s="32" t="s">
        <v>196</v>
      </c>
      <c r="E109" s="33" t="s">
        <v>205</v>
      </c>
      <c r="F109" s="33"/>
      <c r="G109" s="15"/>
      <c r="H109" s="32" t="s">
        <v>191</v>
      </c>
    </row>
    <row r="110" spans="1:8" ht="17.25" customHeight="1" x14ac:dyDescent="0.15">
      <c r="A110" s="30">
        <f t="shared" si="0"/>
        <v>0.76736111111111094</v>
      </c>
      <c r="B110" s="37"/>
      <c r="C110" s="33" t="s">
        <v>102</v>
      </c>
      <c r="D110" s="32" t="s">
        <v>196</v>
      </c>
      <c r="E110" s="33" t="s">
        <v>103</v>
      </c>
      <c r="F110" s="33"/>
      <c r="G110" s="47"/>
      <c r="H110" s="32" t="s">
        <v>191</v>
      </c>
    </row>
    <row r="111" spans="1:8" ht="17.25" customHeight="1" x14ac:dyDescent="0.15"/>
    <row r="112" spans="1:8" ht="17.25" customHeight="1" x14ac:dyDescent="0.15"/>
    <row r="113" spans="3:8" ht="17.25" customHeight="1" x14ac:dyDescent="0.15">
      <c r="E113" s="1" t="s">
        <v>104</v>
      </c>
    </row>
    <row r="114" spans="3:8" ht="17.25" customHeight="1" x14ac:dyDescent="0.15"/>
    <row r="115" spans="3:8" ht="17.25" customHeight="1" x14ac:dyDescent="0.15"/>
    <row r="116" spans="3:8" ht="17.25" customHeight="1" x14ac:dyDescent="0.15"/>
    <row r="117" spans="3:8" ht="17.25" customHeight="1" x14ac:dyDescent="0.15"/>
    <row r="118" spans="3:8" ht="13.5" x14ac:dyDescent="0.15">
      <c r="C118" s="10"/>
      <c r="D118" s="11"/>
      <c r="E118" s="10"/>
      <c r="F118" s="10"/>
      <c r="H118" s="11"/>
    </row>
    <row r="119" spans="3:8" ht="13.5" x14ac:dyDescent="0.15">
      <c r="C119" s="10"/>
      <c r="D119" s="11"/>
      <c r="E119" s="10"/>
      <c r="F119" s="10"/>
      <c r="H119" s="11"/>
    </row>
  </sheetData>
  <mergeCells count="15">
    <mergeCell ref="A59:A62"/>
    <mergeCell ref="B59:B62"/>
    <mergeCell ref="C59:C62"/>
    <mergeCell ref="A1:G1"/>
    <mergeCell ref="A3:G3"/>
    <mergeCell ref="C28:E28"/>
    <mergeCell ref="C29:D29"/>
    <mergeCell ref="C30:D30"/>
    <mergeCell ref="C31:D31"/>
    <mergeCell ref="G59:G62"/>
    <mergeCell ref="C32:D32"/>
    <mergeCell ref="C33:D33"/>
    <mergeCell ref="C34:D34"/>
    <mergeCell ref="C35:D35"/>
    <mergeCell ref="C37:D37"/>
  </mergeCells>
  <phoneticPr fontId="3"/>
  <printOptions horizontalCentered="1"/>
  <pageMargins left="0.3" right="0.23" top="0.36" bottom="0.16" header="0.19" footer="0"/>
  <pageSetup paperSize="9" scale="64" orientation="landscape" verticalDpi="400" r:id="rId1"/>
  <headerFooter alignWithMargins="0">
    <oddHeader xml:space="preserve">&amp;C&amp;16&amp;K000000 </oddHeader>
  </headerFooter>
  <rowBreaks count="2" manualBreakCount="2">
    <brk id="49" max="7" man="1"/>
    <brk id="9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20211月通常総会</vt:lpstr>
      <vt:lpstr>20211月ハイブリッド総会</vt:lpstr>
      <vt:lpstr>'20211月ハイブリッド総会'!Print_Area</vt:lpstr>
      <vt:lpstr>'20211月通常総会'!Print_Area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高橋　佑輔</cp:lastModifiedBy>
  <cp:lastPrinted>2020-12-15T04:47:49Z</cp:lastPrinted>
  <dcterms:created xsi:type="dcterms:W3CDTF">2019-12-06T09:22:47Z</dcterms:created>
  <dcterms:modified xsi:type="dcterms:W3CDTF">2020-12-15T04:48:21Z</dcterms:modified>
</cp:coreProperties>
</file>