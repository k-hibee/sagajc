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予定者常任\03\kyougi\0991-14K-120K(1gatusoukai)\siryoh\sankoh\"/>
    </mc:Choice>
  </mc:AlternateContent>
  <xr:revisionPtr revIDLastSave="0" documentId="13_ncr:1_{6D2FC688-69D1-4D9A-A0CD-516A5456A84A}" xr6:coauthVersionLast="45" xr6:coauthVersionMax="45" xr10:uidLastSave="{00000000-0000-0000-0000-000000000000}"/>
  <bookViews>
    <workbookView xWindow="285" yWindow="105" windowWidth="14580" windowHeight="11835" xr2:uid="{00000000-000D-0000-FFFF-FFFF00000000}"/>
  </bookViews>
  <sheets>
    <sheet name="20201月総会" sheetId="1" r:id="rId1"/>
  </sheets>
  <definedNames>
    <definedName name="_xlnm.Print_Area" localSheetId="0">'20201月総会'!$A$1:$G$106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1" l="1"/>
  <c r="A50" i="1"/>
  <c r="A51" i="1"/>
  <c r="A52" i="1"/>
  <c r="A53" i="1"/>
  <c r="A54" i="1"/>
  <c r="A60" i="1"/>
  <c r="A61" i="1"/>
  <c r="A62" i="1"/>
  <c r="A63" i="1"/>
  <c r="A65" i="1"/>
  <c r="A69" i="1"/>
  <c r="A72" i="1"/>
  <c r="A75" i="1"/>
  <c r="A80" i="1"/>
  <c r="A88" i="1"/>
  <c r="A96" i="1"/>
  <c r="A98" i="1"/>
  <c r="A99" i="1"/>
  <c r="A100" i="1"/>
  <c r="A102" i="1"/>
  <c r="A103" i="1"/>
  <c r="A104" i="1"/>
  <c r="A105" i="1"/>
  <c r="A40" i="1"/>
  <c r="A39" i="1"/>
  <c r="A38" i="1"/>
</calcChain>
</file>

<file path=xl/sharedStrings.xml><?xml version="1.0" encoding="utf-8"?>
<sst xmlns="http://schemas.openxmlformats.org/spreadsheetml/2006/main" count="206" uniqueCount="184">
  <si>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</si>
  <si>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</si>
  <si>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</si>
  <si>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</si>
  <si>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</si>
  <si>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</si>
  <si>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</si>
  <si>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会場内担当（MAX７名）</t>
    <rPh sb="0" eb="3">
      <t>カイj</t>
    </rPh>
    <rPh sb="3" eb="5">
      <t>タント</t>
    </rPh>
    <rPh sb="10" eb="12">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</si>
  <si>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</si>
  <si>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</si>
  <si>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</si>
  <si>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</si>
  <si>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</si>
  <si>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 記念館担当者に進行と気をつける点を伝える</t>
    <rPh sb="2" eb="9">
      <t>キネン</t>
    </rPh>
    <rPh sb="9" eb="19">
      <t>シンコ</t>
    </rPh>
    <rPh sb="19" eb="22">
      <t>ツタ</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</si>
  <si>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</si>
  <si>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</si>
  <si>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</si>
  <si>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</si>
  <si>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</si>
  <si>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</si>
  <si>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</si>
  <si>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</si>
  <si>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</si>
  <si>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</si>
  <si>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</si>
  <si>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</si>
  <si>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ＪＣＩプレート（演台に貼るヤツ）＋両面テープ</t>
    <phoneticPr fontId="3"/>
  </si>
  <si>
    <t>○ 机の前に貼る　「議長」　「シニアクラブ会長　○○」　など</t>
    <phoneticPr fontId="3"/>
  </si>
  <si>
    <t>○ スローガン旗</t>
    <phoneticPr fontId="3"/>
  </si>
  <si>
    <t>○ 立入禁止札２枚</t>
    <phoneticPr fontId="3"/>
  </si>
  <si>
    <t>○ 壇上看板　（１＆総会も）</t>
    <rPh sb="10" eb="12">
      <t>ソウカイ</t>
    </rPh>
    <phoneticPr fontId="3"/>
  </si>
  <si>
    <t>○ 総会シナリオ （○部）　　　　　　　　　　　　　　</t>
    <rPh sb="2" eb="4">
      <t>ソウカイ</t>
    </rPh>
    <rPh sb="11" eb="12">
      <t>ブ</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</si>
  <si>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</si>
  <si>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</si>
  <si>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ゴング一式　（開会に使う物？）</t>
    <rPh sb="9" eb="11">
      <t>カイカイ</t>
    </rPh>
    <rPh sb="12" eb="13">
      <t>ツカ</t>
    </rPh>
    <rPh sb="14" eb="15">
      <t>モノ</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</si>
  <si>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</si>
  <si>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</si>
  <si>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</si>
  <si>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 シニア先輩用のお茶（佐嘉神社記念館でお水出せる？）</t>
    <rPh sb="5" eb="7">
      <t>センパイ</t>
    </rPh>
    <rPh sb="7" eb="8">
      <t>ヨウ</t>
    </rPh>
    <rPh sb="10" eb="11">
      <t>チャ</t>
    </rPh>
    <rPh sb="12" eb="14">
      <t>サガ</t>
    </rPh>
    <rPh sb="14" eb="16">
      <t>ジンジャ</t>
    </rPh>
    <rPh sb="16" eb="19">
      <t>キネンカン</t>
    </rPh>
    <rPh sb="21" eb="22">
      <t>ミズ</t>
    </rPh>
    <rPh sb="22" eb="23">
      <t>ダ</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</si>
  <si>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</si>
  <si>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</si>
  <si>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</si>
  <si>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</si>
  <si>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</si>
  <si>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</si>
  <si>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 xml:space="preserve">総務委員会　写真スタンバイ </t>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</si>
  <si>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</si>
  <si>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</si>
  <si>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</si>
  <si>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</si>
  <si>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</si>
  <si>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</si>
  <si>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</si>
  <si>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</si>
  <si>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</si>
  <si>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</si>
  <si>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</si>
  <si>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</si>
  <si>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</si>
  <si>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</si>
  <si>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</si>
  <si>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</si>
  <si>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</si>
  <si>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議事録作成人：　総務委員会</t>
  </si>
  <si>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</si>
  <si>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</si>
  <si>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</si>
  <si>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</si>
  <si>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</si>
  <si>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</si>
  <si>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</si>
  <si>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</si>
  <si>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</si>
  <si>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</si>
  <si>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</si>
  <si>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委員長</t>
    <rPh sb="0" eb="3">
      <t>イイン</t>
    </rPh>
    <phoneticPr fontId="3"/>
  </si>
  <si>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</si>
  <si>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</si>
  <si>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</si>
  <si>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</si>
  <si>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4人のメンバーが会場の4隅に立つ。
１人はマイクを手にする。</t>
    <rPh sb="1" eb="2">
      <t>ニン</t>
    </rPh>
    <rPh sb="8" eb="10">
      <t>カイジョウ</t>
    </rPh>
    <rPh sb="12" eb="13">
      <t>スミ</t>
    </rPh>
    <rPh sb="14" eb="15">
      <t>タ</t>
    </rPh>
    <rPh sb="19" eb="20">
      <t>リ</t>
    </rPh>
    <rPh sb="25" eb="26">
      <t>テ</t>
    </rPh>
    <phoneticPr fontId="3"/>
  </si>
  <si>
    <t>議事審議</t>
  </si>
  <si>
    <t>議事審議</t>
    <rPh sb="0" eb="2">
      <t>ギジ</t>
    </rPh>
    <rPh sb="2" eb="4">
      <t>シンギ</t>
    </rPh>
    <phoneticPr fontId="3"/>
  </si>
  <si>
    <t>議長</t>
    <rPh sb="0" eb="2">
      <t>ギチョ</t>
    </rPh>
    <phoneticPr fontId="3"/>
  </si>
  <si>
    <t>第１号議案</t>
    <rPh sb="0" eb="1">
      <t>ダイ</t>
    </rPh>
    <rPh sb="2" eb="3">
      <t>ゴウ</t>
    </rPh>
    <rPh sb="3" eb="5">
      <t>ギアン</t>
    </rPh>
    <phoneticPr fontId="3"/>
  </si>
  <si>
    <t>上程議案の説明を総務委員長お願いします。</t>
    <phoneticPr fontId="3"/>
  </si>
  <si>
    <t>＊＊決議</t>
    <rPh sb="2" eb="4">
      <t>ケツギ</t>
    </rPh>
    <phoneticPr fontId="3"/>
  </si>
  <si>
    <r>
      <t xml:space="preserve">
</t>
    </r>
    <r>
      <rPr>
        <sz val="10"/>
        <rFont val="ＭＳ Ｐゴシック"/>
        <family val="3"/>
        <charset val="128"/>
      </rPr>
      <t>①ありがとうございます。全会一致により可決承認致します。
②反対の人・・・　棄権の人・・・　それでは反対（棄権）理由をお願い致します。
以上により本議案は賛成多数により可決承認致します。</t>
    </r>
    <rPh sb="13" eb="15">
      <t>ゼンカイ</t>
    </rPh>
    <rPh sb="15" eb="17">
      <t>イッチ</t>
    </rPh>
    <rPh sb="20" eb="22">
      <t>カケツ</t>
    </rPh>
    <rPh sb="22" eb="24">
      <t>ショウニン</t>
    </rPh>
    <rPh sb="24" eb="25">
      <t>イタ</t>
    </rPh>
    <rPh sb="31" eb="33">
      <t>ハンタイ</t>
    </rPh>
    <rPh sb="34" eb="35">
      <t>ヒト</t>
    </rPh>
    <rPh sb="39" eb="41">
      <t>キケン</t>
    </rPh>
    <rPh sb="42" eb="43">
      <t>ヒト</t>
    </rPh>
    <rPh sb="51" eb="53">
      <t>ハンタイ</t>
    </rPh>
    <rPh sb="54" eb="56">
      <t>キケン</t>
    </rPh>
    <rPh sb="57" eb="59">
      <t>リユウ</t>
    </rPh>
    <rPh sb="61" eb="62">
      <t>ネガ</t>
    </rPh>
    <rPh sb="63" eb="64">
      <t>イタ</t>
    </rPh>
    <rPh sb="69" eb="71">
      <t>イジョウ</t>
    </rPh>
    <rPh sb="74" eb="75">
      <t>ホン</t>
    </rPh>
    <rPh sb="75" eb="77">
      <t>ギアン</t>
    </rPh>
    <rPh sb="78" eb="80">
      <t>サンセイ</t>
    </rPh>
    <rPh sb="80" eb="82">
      <t>タスウ</t>
    </rPh>
    <rPh sb="85" eb="87">
      <t>カケツ</t>
    </rPh>
    <rPh sb="87" eb="89">
      <t>ショウニン</t>
    </rPh>
    <rPh sb="89" eb="90">
      <t>イタ</t>
    </rPh>
    <phoneticPr fontId="3"/>
  </si>
  <si>
    <t>第2号議案</t>
    <rPh sb="0" eb="1">
      <t>ダイ</t>
    </rPh>
    <rPh sb="2" eb="3">
      <t>ゴウ</t>
    </rPh>
    <rPh sb="3" eb="5">
      <t>ギアン</t>
    </rPh>
    <phoneticPr fontId="3"/>
  </si>
  <si>
    <t>それでは上程議案の説明を総務委員長お願いします。</t>
    <phoneticPr fontId="3"/>
  </si>
  <si>
    <t>室長</t>
    <rPh sb="0" eb="2">
      <t>シツチョ</t>
    </rPh>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</si>
  <si>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</si>
  <si>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</si>
  <si>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</si>
  <si>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</si>
  <si>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</si>
  <si>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</si>
  <si>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</si>
  <si>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</si>
  <si>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</si>
  <si>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</si>
  <si>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</si>
  <si>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</si>
  <si>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</si>
  <si>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</si>
  <si>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</si>
  <si>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</si>
  <si>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</si>
  <si>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</si>
  <si>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</si>
  <si>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（全１１名）</t>
    <rPh sb="1" eb="2">
      <t>ゼン</t>
    </rPh>
    <rPh sb="4" eb="6">
      <t>メ</t>
    </rPh>
    <phoneticPr fontId="3"/>
  </si>
  <si>
    <t>（総会時は入室できない）</t>
    <rPh sb="1" eb="3">
      <t>ソウカ</t>
    </rPh>
    <rPh sb="3" eb="5">
      <t>ジh</t>
    </rPh>
    <rPh sb="5" eb="11">
      <t>ニュウsh</t>
    </rPh>
    <phoneticPr fontId="3"/>
  </si>
  <si>
    <t>受付（２名）</t>
    <rPh sb="0" eb="2">
      <t>ウケツk</t>
    </rPh>
    <rPh sb="4" eb="6">
      <t>メ</t>
    </rPh>
    <phoneticPr fontId="3"/>
  </si>
  <si>
    <t>同上</t>
    <rPh sb="0" eb="2">
      <t>ドウジョウ</t>
    </rPh>
    <phoneticPr fontId="3"/>
  </si>
  <si>
    <t>＊ レコーダーは開会直前まで室長が管理（紛失を防ぐため）</t>
    <rPh sb="8" eb="14">
      <t>カ</t>
    </rPh>
    <rPh sb="14" eb="16">
      <t>シツチョウ</t>
    </rPh>
    <rPh sb="17" eb="19">
      <t>カンr</t>
    </rPh>
    <rPh sb="20" eb="23">
      <t>フンシts</t>
    </rPh>
    <rPh sb="23" eb="28">
      <t>フセg</t>
    </rPh>
    <phoneticPr fontId="3"/>
  </si>
  <si>
    <t>○ 理事長、直前理事長、特別顧問、副理事長×５名、専務理事の　卓上ネームプレート（計９枚）</t>
    <rPh sb="12" eb="14">
      <t>トクベツ</t>
    </rPh>
    <rPh sb="14" eb="16">
      <t>コモン</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</si>
  <si>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</si>
  <si>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</si>
  <si>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 ＩＣレコーダー（総務委員長BOX）（電池のチェックを！）</t>
    <rPh sb="10" eb="12">
      <t>ソウム</t>
    </rPh>
    <rPh sb="12" eb="15">
      <t>イインチョウ</t>
    </rPh>
    <rPh sb="20" eb="22">
      <t>デンチ</t>
    </rPh>
    <phoneticPr fontId="3"/>
  </si>
  <si>
    <t>受付２名　　　　　　　　　　　　　　　　　　　　　　</t>
    <rPh sb="0" eb="2">
      <t>ウケツケ</t>
    </rPh>
    <rPh sb="3" eb="4">
      <t>メイ</t>
    </rPh>
    <phoneticPr fontId="3"/>
  </si>
  <si>
    <t>開会の辞            副理事長 　島内　陽輔（ しまうち　ようすけ ）君</t>
    <rPh sb="0" eb="2">
      <t>カイカイ</t>
    </rPh>
    <rPh sb="3" eb="4">
      <t>ジ</t>
    </rPh>
    <rPh sb="16" eb="17">
      <t>フク</t>
    </rPh>
    <rPh sb="17" eb="20">
      <t>リジチョウ</t>
    </rPh>
    <rPh sb="22" eb="24">
      <t>シマウチ</t>
    </rPh>
    <rPh sb="25" eb="27">
      <t>ヨウスケ</t>
    </rPh>
    <rPh sb="40" eb="41">
      <t>キミ</t>
    </rPh>
    <phoneticPr fontId="3"/>
  </si>
  <si>
    <t>CD係：　記念館担当　”スタート！”</t>
    <rPh sb="5" eb="7">
      <t>キネン</t>
    </rPh>
    <rPh sb="7" eb="8">
      <t>カン</t>
    </rPh>
    <rPh sb="8" eb="10">
      <t>タントウ</t>
    </rPh>
    <phoneticPr fontId="3"/>
  </si>
  <si>
    <t>集音/「議長」貼り</t>
    <rPh sb="0" eb="2">
      <t>シュウオン</t>
    </rPh>
    <rPh sb="3" eb="6">
      <t>ギチョ</t>
    </rPh>
    <rPh sb="6" eb="7">
      <t>ハ</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</si>
  <si>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</si>
  <si>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監事講評  監事　音成　信介（おとなり　しんすけ）君</t>
    <rPh sb="9" eb="11">
      <t>オトナリ</t>
    </rPh>
    <rPh sb="12" eb="14">
      <t>シンスケ</t>
    </rPh>
    <rPh sb="25" eb="26">
      <t>クン</t>
    </rPh>
    <phoneticPr fontId="3"/>
  </si>
  <si>
    <t>○ １）感謝状　２）目録　３）賞状をのせるおぼん</t>
    <rPh sb="10" eb="12">
      <t>モクロク</t>
    </rPh>
    <phoneticPr fontId="3"/>
  </si>
  <si>
    <t>○プレジデンシャルリース</t>
    <phoneticPr fontId="3"/>
  </si>
  <si>
    <t>■ 当日委員会スタッフは  ＜14：00会館集合＞　メンバーは＜15：30迄会場集合＞　＜16：00まで会場設営＞ ＜16：00～リハーサル＞</t>
    <rPh sb="2" eb="4">
      <t>トウジツ</t>
    </rPh>
    <rPh sb="20" eb="22">
      <t>カイカン</t>
    </rPh>
    <rPh sb="22" eb="24">
      <t>シュウゴウ</t>
    </rPh>
    <rPh sb="37" eb="38">
      <t>マデ</t>
    </rPh>
    <rPh sb="38" eb="40">
      <t>カイジョウ</t>
    </rPh>
    <rPh sb="40" eb="42">
      <t>シュウ</t>
    </rPh>
    <rPh sb="52" eb="54">
      <t>カイジョウ</t>
    </rPh>
    <rPh sb="54" eb="56">
      <t>セツエイ</t>
    </rPh>
    <phoneticPr fontId="3"/>
  </si>
  <si>
    <t>２０２1年 １月総会　シナリオ（案）</t>
    <rPh sb="4" eb="5">
      <t>ネン</t>
    </rPh>
    <rPh sb="7" eb="8">
      <t>ガts</t>
    </rPh>
    <rPh sb="8" eb="10">
      <t>ソウカ</t>
    </rPh>
    <rPh sb="16" eb="17">
      <t>アン</t>
    </rPh>
    <phoneticPr fontId="3"/>
  </si>
  <si>
    <t>髙橋　/　横尾　/　森　/　松並室長（会館待機16:00まで）　/　鶴田　/　宮原</t>
    <rPh sb="0" eb="2">
      <t>タカハシ</t>
    </rPh>
    <rPh sb="5" eb="7">
      <t>ヨコオ</t>
    </rPh>
    <rPh sb="10" eb="11">
      <t>モリ</t>
    </rPh>
    <rPh sb="14" eb="16">
      <t>マツナミ</t>
    </rPh>
    <rPh sb="16" eb="18">
      <t>シツチョウ</t>
    </rPh>
    <rPh sb="34" eb="36">
      <t>ツルダ</t>
    </rPh>
    <rPh sb="39" eb="41">
      <t>ミヤハラ</t>
    </rPh>
    <phoneticPr fontId="3"/>
  </si>
  <si>
    <t>○○　/　○○ 　/　○○　/　○○　 /　○○　/　</t>
    <phoneticPr fontId="3"/>
  </si>
  <si>
    <t>全体統括　：　髙橋</t>
    <rPh sb="0" eb="6">
      <t>ゼンタ</t>
    </rPh>
    <rPh sb="7" eb="9">
      <t>タカハシ</t>
    </rPh>
    <phoneticPr fontId="3"/>
  </si>
  <si>
    <t>髙橋/横尾　</t>
    <rPh sb="0" eb="2">
      <t>タカハシ</t>
    </rPh>
    <rPh sb="3" eb="5">
      <t>ヨコオ</t>
    </rPh>
    <phoneticPr fontId="3"/>
  </si>
  <si>
    <t>松並 （資料修正時、忘れ物対応）　　</t>
    <rPh sb="0" eb="2">
      <t>マツナミ</t>
    </rPh>
    <rPh sb="4" eb="6">
      <t>シリョ</t>
    </rPh>
    <rPh sb="6" eb="8">
      <t>シュ</t>
    </rPh>
    <rPh sb="8" eb="9">
      <t>ジ</t>
    </rPh>
    <rPh sb="10" eb="11">
      <t>ワス</t>
    </rPh>
    <rPh sb="12" eb="13">
      <t>モノ</t>
    </rPh>
    <rPh sb="13" eb="16">
      <t>タイオ</t>
    </rPh>
    <phoneticPr fontId="3"/>
  </si>
  <si>
    <t>＊ 会館には、16時まで待機し、髙橋に確認後、会場に向かってください。</t>
    <rPh sb="2" eb="6">
      <t>カイカン</t>
    </rPh>
    <rPh sb="9" eb="10">
      <t>ジ</t>
    </rPh>
    <rPh sb="12" eb="14">
      <t>タイk</t>
    </rPh>
    <rPh sb="16" eb="18">
      <t>タカハシ</t>
    </rPh>
    <rPh sb="19" eb="23">
      <t>カクニン</t>
    </rPh>
    <rPh sb="23" eb="26">
      <t>カイj</t>
    </rPh>
    <rPh sb="26" eb="35">
      <t>ムカッt</t>
    </rPh>
    <phoneticPr fontId="3"/>
  </si>
  <si>
    <t>○○/○○　</t>
    <phoneticPr fontId="3"/>
  </si>
  <si>
    <t>横尾/森/鶴田/宮原</t>
    <rPh sb="0" eb="2">
      <t>ヨコオ</t>
    </rPh>
    <rPh sb="3" eb="4">
      <t>モリ</t>
    </rPh>
    <rPh sb="5" eb="7">
      <t>ツルダ</t>
    </rPh>
    <rPh sb="8" eb="10">
      <t>ミヤハラ</t>
    </rPh>
    <phoneticPr fontId="3"/>
  </si>
  <si>
    <t>原</t>
    <rPh sb="0" eb="1">
      <t>ハラ</t>
    </rPh>
    <phoneticPr fontId="3"/>
  </si>
  <si>
    <t>○○、○○</t>
    <phoneticPr fontId="3"/>
  </si>
  <si>
    <t>髙橋（ＣＤを受取り、記念館担当者へ）</t>
    <rPh sb="0" eb="2">
      <t>タカハシ</t>
    </rPh>
    <rPh sb="6" eb="8">
      <t>ウケト</t>
    </rPh>
    <rPh sb="10" eb="13">
      <t>キネンカン</t>
    </rPh>
    <rPh sb="13" eb="16">
      <t>タントウシャ</t>
    </rPh>
    <phoneticPr fontId="3"/>
  </si>
  <si>
    <t>○○、○○、○○　＝ 最前列に座り、終了後は後方にてマイク担当</t>
    <rPh sb="11" eb="15">
      <t>サイゼン</t>
    </rPh>
    <rPh sb="15" eb="18">
      <t>スワr</t>
    </rPh>
    <rPh sb="18" eb="22">
      <t>シュウリョ</t>
    </rPh>
    <rPh sb="22" eb="26">
      <t>コウh</t>
    </rPh>
    <rPh sb="29" eb="31">
      <t>タント</t>
    </rPh>
    <phoneticPr fontId="3"/>
  </si>
  <si>
    <t>松並/○○　</t>
    <rPh sb="0" eb="2">
      <t>マツナミ</t>
    </rPh>
    <phoneticPr fontId="3"/>
  </si>
  <si>
    <t>○○ →髙橋　1) 定足数 = 来賓紹介前まで　2）出席率 = 来賓退場直後　（ＬＩＮＥでも紙でもOK。打ち合わせを！）</t>
    <rPh sb="4" eb="6">
      <t>タカハシ</t>
    </rPh>
    <rPh sb="10" eb="13">
      <t>テイs</t>
    </rPh>
    <rPh sb="16" eb="20">
      <t>ライヒン</t>
    </rPh>
    <rPh sb="20" eb="23">
      <t>マ</t>
    </rPh>
    <rPh sb="26" eb="29">
      <t>シュッs</t>
    </rPh>
    <rPh sb="32" eb="36">
      <t>ライヒン</t>
    </rPh>
    <rPh sb="36" eb="38">
      <t>チョk</t>
    </rPh>
    <rPh sb="46" eb="49">
      <t>カミd</t>
    </rPh>
    <rPh sb="52" eb="53">
      <t>ウ</t>
    </rPh>
    <rPh sb="54" eb="60">
      <t>アワs</t>
    </rPh>
    <phoneticPr fontId="3"/>
  </si>
  <si>
    <t>○ 式次第（１００部）＝直前まで変更の可能性あり！</t>
    <rPh sb="9" eb="10">
      <t>ブ</t>
    </rPh>
    <rPh sb="12" eb="14">
      <t>チョクゼン</t>
    </rPh>
    <rPh sb="16" eb="18">
      <t>ヘンコウ</t>
    </rPh>
    <rPh sb="19" eb="22">
      <t>カノウセイ</t>
    </rPh>
    <phoneticPr fontId="3"/>
  </si>
  <si>
    <t>○２０２１年度基本資料＆手帳</t>
    <rPh sb="5" eb="7">
      <t>ネンド</t>
    </rPh>
    <rPh sb="7" eb="9">
      <t>キホン</t>
    </rPh>
    <rPh sb="9" eb="11">
      <t>シリョウ</t>
    </rPh>
    <rPh sb="12" eb="14">
      <t>テチョウ</t>
    </rPh>
    <phoneticPr fontId="3"/>
  </si>
  <si>
    <t>司会：横尾</t>
    <rPh sb="0" eb="2">
      <t>シカイ</t>
    </rPh>
    <rPh sb="3" eb="5">
      <t>ヨコオ</t>
    </rPh>
    <phoneticPr fontId="3"/>
  </si>
  <si>
    <t>松並　レコーダースタンバイ　</t>
    <rPh sb="0" eb="2">
      <t>マツナミ</t>
    </rPh>
    <phoneticPr fontId="3"/>
  </si>
  <si>
    <r>
      <rPr>
        <sz val="10"/>
        <color indexed="10"/>
        <rFont val="ＭＳ Ｐゴシック"/>
        <family val="3"/>
        <charset val="128"/>
      </rPr>
      <t>○○</t>
    </r>
    <r>
      <rPr>
        <sz val="10"/>
        <rFont val="ＭＳ Ｐゴシック"/>
        <family val="3"/>
        <charset val="128"/>
      </rPr>
      <t>の「入場ＯＫ！」の合図を待つ</t>
    </r>
    <rPh sb="4" eb="6">
      <t>ニュウジョウ</t>
    </rPh>
    <rPh sb="11" eb="13">
      <t>アイズ</t>
    </rPh>
    <rPh sb="14" eb="15">
      <t>マ</t>
    </rPh>
    <phoneticPr fontId="3"/>
  </si>
  <si>
    <t>委員長は、受付で待機している　○○　君に「シニアの方の案内大丈夫？」と確認。（会場出入口までスタンバイ）</t>
    <phoneticPr fontId="3"/>
  </si>
  <si>
    <t>○○から指令を受けたシニアアテンド顧問（○○君・○○君）が席にご案内する</t>
    <rPh sb="4" eb="6">
      <t>シレイ</t>
    </rPh>
    <rPh sb="7" eb="8">
      <t>ウ</t>
    </rPh>
    <rPh sb="17" eb="19">
      <t>コモン</t>
    </rPh>
    <rPh sb="22" eb="23">
      <t>クン</t>
    </rPh>
    <rPh sb="26" eb="27">
      <t>クン</t>
    </rPh>
    <rPh sb="29" eb="30">
      <t>セキ</t>
    </rPh>
    <rPh sb="32" eb="34">
      <t>アンナイ</t>
    </rPh>
    <phoneticPr fontId="3"/>
  </si>
  <si>
    <t>JCICreed唱和      　　　　　　　　　　総務委員会   ○○　○○　（○○○○　○○○○）君</t>
    <rPh sb="8" eb="10">
      <t>ショウワ</t>
    </rPh>
    <rPh sb="26" eb="28">
      <t>ソウム</t>
    </rPh>
    <rPh sb="28" eb="31">
      <t>イインカイ</t>
    </rPh>
    <rPh sb="51" eb="52">
      <t>クン</t>
    </rPh>
    <phoneticPr fontId="3"/>
  </si>
  <si>
    <t>JCIMission並びにJCIVison唱和　　総務委員会　○○　○○　（○○○○　○○○○）君</t>
    <rPh sb="10" eb="11">
      <t>ナラ</t>
    </rPh>
    <rPh sb="25" eb="27">
      <t>ソウム</t>
    </rPh>
    <rPh sb="48" eb="49">
      <t>クン</t>
    </rPh>
    <phoneticPr fontId="3"/>
  </si>
  <si>
    <t>JC宣言文朗読 ならびに綱領唱和   総務委員会　○○　○○　（○○○○　○○○○）君</t>
    <rPh sb="2" eb="4">
      <t>センゲン</t>
    </rPh>
    <rPh sb="5" eb="7">
      <t>ロウドク</t>
    </rPh>
    <rPh sb="12" eb="14">
      <t>コウリョウ</t>
    </rPh>
    <rPh sb="14" eb="16">
      <t>ショウワ</t>
    </rPh>
    <rPh sb="19" eb="21">
      <t>ソウム</t>
    </rPh>
    <rPh sb="42" eb="43">
      <t>キミ</t>
    </rPh>
    <phoneticPr fontId="3"/>
  </si>
  <si>
    <t>署名人：　　　　　６５周年委員会　　　　　　菱岡（ひしおか）　　　委員長　　</t>
    <rPh sb="11" eb="13">
      <t>シュウネン</t>
    </rPh>
    <rPh sb="13" eb="16">
      <t>イインカイ</t>
    </rPh>
    <rPh sb="22" eb="24">
      <t>ヒシオカ</t>
    </rPh>
    <phoneticPr fontId="3"/>
  </si>
  <si>
    <t>署名人：　　　　　未来に繋がるまちづくり委員会　　        久保（くぼ）　委員長</t>
    <rPh sb="9" eb="11">
      <t>ミライ</t>
    </rPh>
    <rPh sb="12" eb="13">
      <t>ツナ</t>
    </rPh>
    <rPh sb="20" eb="23">
      <t>イインカイ</t>
    </rPh>
    <rPh sb="33" eb="35">
      <t>クボ</t>
    </rPh>
    <phoneticPr fontId="3"/>
  </si>
  <si>
    <t>理事長挨拶    理事長  古川　健太郎（ふるかわ　けんたろう）君</t>
    <rPh sb="0" eb="3">
      <t>リジチョウ</t>
    </rPh>
    <rPh sb="3" eb="5">
      <t>アイサツ</t>
    </rPh>
    <rPh sb="9" eb="12">
      <t>リジチョウ</t>
    </rPh>
    <rPh sb="14" eb="16">
      <t>フルカワ</t>
    </rPh>
    <rPh sb="17" eb="20">
      <t>ケンタロウ</t>
    </rPh>
    <rPh sb="32" eb="33">
      <t>クン</t>
    </rPh>
    <phoneticPr fontId="3"/>
  </si>
  <si>
    <t>直前理事長挨拶  直前理事長　西村　祐二郎（にしむら　ゆうじろう）君</t>
    <rPh sb="0" eb="5">
      <t>チョk</t>
    </rPh>
    <rPh sb="5" eb="7">
      <t>アイサツ</t>
    </rPh>
    <rPh sb="9" eb="14">
      <t>チョk</t>
    </rPh>
    <rPh sb="15" eb="17">
      <t>ニシムラ</t>
    </rPh>
    <rPh sb="18" eb="19">
      <t>ユウ</t>
    </rPh>
    <rPh sb="19" eb="21">
      <t>ジロウ</t>
    </rPh>
    <rPh sb="33" eb="34">
      <t>クン</t>
    </rPh>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</si>
  <si>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</si>
  <si>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それでは、シニア・クラブを代表し会長の川代　勇一（かわしろ　ゆういち）先輩よりご挨拶頂きます。　川代先輩、宜しくお願い致します。</t>
    <rPh sb="13" eb="15">
      <t>ダイヒョウ</t>
    </rPh>
    <rPh sb="16" eb="18">
      <t>カイチョウ</t>
    </rPh>
    <rPh sb="19" eb="21">
      <t>カワシロ</t>
    </rPh>
    <rPh sb="22" eb="24">
      <t>ユウイチ</t>
    </rPh>
    <rPh sb="35" eb="37">
      <t>センパイ</t>
    </rPh>
    <rPh sb="40" eb="42">
      <t>アイサツ</t>
    </rPh>
    <rPh sb="42" eb="43">
      <t>イタダ</t>
    </rPh>
    <rPh sb="48" eb="50">
      <t>カワシロ</t>
    </rPh>
    <rPh sb="50" eb="52">
      <t>センパイ</t>
    </rPh>
    <rPh sb="53" eb="54">
      <t>ヨロ</t>
    </rPh>
    <rPh sb="57" eb="58">
      <t>ネガ</t>
    </rPh>
    <rPh sb="59" eb="60">
      <t>イタ</t>
    </rPh>
    <phoneticPr fontId="3"/>
  </si>
  <si>
    <t>ここでシニア・クラブ役員の皆様をご紹介したいと思います。
皆様盛大な拍手をお願い致します。
シニア・クラブ会長の　川代　勇一（かわしろ　ゆういち）先輩です。　(ﾊﾟﾁﾊﾟﾁ)　、
副会長の　下津浦　信啓（しもつうら　のぶひろ）先輩です。（ﾊﾟﾁﾊﾟﾁ）
副会長の　古賀　満美（こが　みちみ）先輩です。（ﾊﾟﾁﾊﾟﾁ）
監事の　久保　和則（くぼ　かずのり）先輩です。　(ﾊﾟﾁﾊﾟﾁ)
会計の　木下　直哉（きのした　なおや）先輩です。（ﾊﾟﾁﾊﾟﾁ）</t>
    <rPh sb="90" eb="93">
      <t>フクカイチョウ</t>
    </rPh>
    <rPh sb="112" eb="114">
      <t>センパイ</t>
    </rPh>
    <rPh sb="131" eb="133">
      <t>コガ</t>
    </rPh>
    <rPh sb="135" eb="136">
      <t>ミツ</t>
    </rPh>
    <rPh sb="136" eb="137">
      <t>ミ</t>
    </rPh>
    <rPh sb="158" eb="160">
      <t>カンジ</t>
    </rPh>
    <rPh sb="162" eb="164">
      <t>クボ</t>
    </rPh>
    <rPh sb="165" eb="167">
      <t>カズノリ</t>
    </rPh>
    <rPh sb="192" eb="194">
      <t>カイケイ</t>
    </rPh>
    <rPh sb="196" eb="198">
      <t>キノシタ</t>
    </rPh>
    <rPh sb="211" eb="213">
      <t>センパイ</t>
    </rPh>
    <phoneticPr fontId="3"/>
  </si>
  <si>
    <t>（挨拶後）川代　勇一（かわしろ　ゆういち）先輩　ありがとうございました。</t>
    <rPh sb="1" eb="3">
      <t>アイサツ</t>
    </rPh>
    <rPh sb="3" eb="4">
      <t>ゴ</t>
    </rPh>
    <rPh sb="5" eb="7">
      <t>カワシロ</t>
    </rPh>
    <rPh sb="8" eb="10">
      <t>ユウイチ</t>
    </rPh>
    <rPh sb="21" eb="23">
      <t>センパイ</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</si>
  <si>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</si>
  <si>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</si>
  <si>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只今より定足数の確認を行ないます。　　髙橋委員長お願い致します。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</si>
  <si>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 xml:space="preserve">定足数を発表いたします。 
会員数　　　８９名、内会場出席者数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3"/>
  </si>
  <si>
    <t>（定足数を松尾委員長に渡す、○○担当）</t>
    <rPh sb="1" eb="3">
      <t>テイソク</t>
    </rPh>
    <rPh sb="3" eb="4">
      <t>スウ</t>
    </rPh>
    <rPh sb="5" eb="7">
      <t>マツオ</t>
    </rPh>
    <rPh sb="7" eb="10">
      <t>イインチョウ</t>
    </rPh>
    <rPh sb="11" eb="12">
      <t>ワタ</t>
    </rPh>
    <rPh sb="16" eb="18">
      <t>タントウ</t>
    </rPh>
    <phoneticPr fontId="3"/>
  </si>
  <si>
    <t>○○   議長の張り紙を貼る</t>
    <phoneticPr fontId="3"/>
  </si>
  <si>
    <t>マイク担当：３名
（○○、○○、○○）</t>
    <rPh sb="3" eb="5">
      <t>タントウ</t>
    </rPh>
    <rPh sb="7" eb="8">
      <t>メイ</t>
    </rPh>
    <rPh sb="18" eb="19">
      <t>タイクン</t>
    </rPh>
    <phoneticPr fontId="3"/>
  </si>
  <si>
    <t>第１号議案　「２０２０年度収支決算（案）承認の件」</t>
    <rPh sb="0" eb="1">
      <t>ダイ</t>
    </rPh>
    <rPh sb="2" eb="3">
      <t>ゴウ</t>
    </rPh>
    <rPh sb="3" eb="5">
      <t>ギアン</t>
    </rPh>
    <phoneticPr fontId="3"/>
  </si>
  <si>
    <t>議長のお許しを得まして、２０２０年度事務局長の船津　貴之 （ふなつ　たかゆき）君に説明をお願いしたいのですがいかがでしょうか？ 
※船津君欠席の場合は、２０２０年度総務委員会副委員長　永田　恭平君</t>
    <rPh sb="0" eb="2">
      <t>ギチョウ</t>
    </rPh>
    <rPh sb="3" eb="5">
      <t>オユル</t>
    </rPh>
    <rPh sb="7" eb="8">
      <t>エ</t>
    </rPh>
    <rPh sb="18" eb="21">
      <t>ジムキョク</t>
    </rPh>
    <rPh sb="39" eb="40">
      <t>クン</t>
    </rPh>
    <rPh sb="41" eb="43">
      <t>セツメイ</t>
    </rPh>
    <rPh sb="44" eb="46">
      <t>オネガ</t>
    </rPh>
    <rPh sb="66" eb="68">
      <t>フナツ</t>
    </rPh>
    <rPh sb="84" eb="87">
      <t>イインカイ</t>
    </rPh>
    <rPh sb="87" eb="88">
      <t>フク</t>
    </rPh>
    <rPh sb="88" eb="91">
      <t>イインチョウ</t>
    </rPh>
    <rPh sb="92" eb="94">
      <t>ナガタ</t>
    </rPh>
    <rPh sb="95" eb="97">
      <t>キョウヘイ</t>
    </rPh>
    <rPh sb="97" eb="98">
      <t>クン</t>
    </rPh>
    <phoneticPr fontId="3"/>
  </si>
  <si>
    <t>それでは ２０２０年度、事務局長の 船津　貴之（ふなつ　たかゆき）君お願いします。
※船津君欠席の場合は、２０２０年度総務委員会副委員長　永田　恭平君</t>
    <rPh sb="12" eb="15">
      <t>ジムキョク</t>
    </rPh>
    <rPh sb="18" eb="20">
      <t>フナツ</t>
    </rPh>
    <rPh sb="21" eb="23">
      <t>タカユキ</t>
    </rPh>
    <rPh sb="33" eb="34">
      <t>クン</t>
    </rPh>
    <rPh sb="35" eb="36">
      <t>ネガ</t>
    </rPh>
    <phoneticPr fontId="3"/>
  </si>
  <si>
    <t>２０２０年度、事務局長　船津　貴之 君　　　　　　　　（議案説明）
※船津君欠席の場合は、２０２０年度総務委員会副委員長　永田　恭平君</t>
    <rPh sb="4" eb="6">
      <t>ネンド</t>
    </rPh>
    <rPh sb="7" eb="9">
      <t>ジム</t>
    </rPh>
    <rPh sb="9" eb="11">
      <t>キョクチョウ</t>
    </rPh>
    <rPh sb="12" eb="14">
      <t>フナツ</t>
    </rPh>
    <rPh sb="15" eb="17">
      <t>タカユキ</t>
    </rPh>
    <rPh sb="28" eb="30">
      <t>ギアン</t>
    </rPh>
    <rPh sb="30" eb="32">
      <t>セツメイ</t>
    </rPh>
    <phoneticPr fontId="3"/>
  </si>
  <si>
    <t>この議案に対し、何かご質問はありませんでしょうか？
無ければ採決に移らせていただきます。
「第１号議案　２０２０年度収支決算（案）承認の件｣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</si>
  <si>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第２号議案　「２０２１年度収支予算（案）承認の件」</t>
    <rPh sb="0" eb="1">
      <t>ダイ</t>
    </rPh>
    <rPh sb="2" eb="3">
      <t>ゴウ</t>
    </rPh>
    <rPh sb="3" eb="5">
      <t>ギアン</t>
    </rPh>
    <phoneticPr fontId="3"/>
  </si>
  <si>
    <t xml:space="preserve">議長のお許しを得まして、総務室長の松並　陽一（まつなみ　よういち）君からご説明をお願いしたいですが、いかがでしょうか？  </t>
    <rPh sb="7" eb="8">
      <t>エ</t>
    </rPh>
    <rPh sb="12" eb="14">
      <t>ソウム</t>
    </rPh>
    <rPh sb="14" eb="16">
      <t>シツチョウ</t>
    </rPh>
    <rPh sb="17" eb="19">
      <t>マツナミ</t>
    </rPh>
    <rPh sb="20" eb="22">
      <t>ヨウイチ</t>
    </rPh>
    <rPh sb="33" eb="34">
      <t>クン</t>
    </rPh>
    <rPh sb="41" eb="42">
      <t>ネガ</t>
    </rPh>
    <phoneticPr fontId="3"/>
  </si>
  <si>
    <t>それでは 総務室長の松並　陽一（まつなみ　よういち）君、お願いします。</t>
    <rPh sb="10" eb="12">
      <t>マツナミ</t>
    </rPh>
    <rPh sb="13" eb="15">
      <t>ヨウイチ</t>
    </rPh>
    <phoneticPr fontId="3"/>
  </si>
  <si>
    <t>この議案に対し、何かご質問はありませんでしょうか？
無ければ採決に移らせていただきます。
第2号議案　「２０２１年度収支予算（案）承認の件」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</si>
  <si>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西村理事長への感謝状及び記念品の贈呈　西村直前理事長、古川理事長ご登壇ください。</t>
    <rPh sb="0" eb="2">
      <t>ニシムラ</t>
    </rPh>
    <rPh sb="2" eb="5">
      <t>リジチョウ</t>
    </rPh>
    <rPh sb="7" eb="10">
      <t>カンシャジョウ</t>
    </rPh>
    <rPh sb="10" eb="11">
      <t>オヨ</t>
    </rPh>
    <rPh sb="12" eb="15">
      <t>キネンヒン</t>
    </rPh>
    <rPh sb="16" eb="18">
      <t>ゾウテイ</t>
    </rPh>
    <rPh sb="19" eb="21">
      <t>ニシムラ</t>
    </rPh>
    <rPh sb="21" eb="23">
      <t>チョクゼン</t>
    </rPh>
    <rPh sb="23" eb="26">
      <t>リジチョウ</t>
    </rPh>
    <rPh sb="27" eb="29">
      <t>フルカワ</t>
    </rPh>
    <rPh sb="29" eb="32">
      <t>リジチョウ</t>
    </rPh>
    <rPh sb="33" eb="35">
      <t>トウダン</t>
    </rPh>
    <phoneticPr fontId="3"/>
  </si>
  <si>
    <t>○○、賞状と記念品を理事長に！</t>
    <rPh sb="3" eb="5">
      <t>ショウジョウ</t>
    </rPh>
    <phoneticPr fontId="3"/>
  </si>
  <si>
    <t>アテンド担当の　○○君、○○君はシニアの方々を先導して控室までお送りする</t>
    <rPh sb="4" eb="6">
      <t>タントウ</t>
    </rPh>
    <rPh sb="10" eb="11">
      <t>クン</t>
    </rPh>
    <rPh sb="14" eb="15">
      <t>クン</t>
    </rPh>
    <rPh sb="20" eb="22">
      <t>カタガタ</t>
    </rPh>
    <rPh sb="23" eb="25">
      <t>センドウ</t>
    </rPh>
    <rPh sb="27" eb="29">
      <t>ヒカエシツ</t>
    </rPh>
    <rPh sb="32" eb="33">
      <t>オク</t>
    </rPh>
    <phoneticPr fontId="3"/>
  </si>
  <si>
    <t>総務委員会のメンバーが会場の四隅から、皆挙手しているかチェックして、髙橋委員長に合図する。</t>
    <rPh sb="20" eb="22">
      <t>キョシュ</t>
    </rPh>
    <rPh sb="34" eb="36">
      <t>タカハシ</t>
    </rPh>
    <rPh sb="36" eb="39">
      <t>イインチョウ</t>
    </rPh>
    <phoneticPr fontId="3"/>
  </si>
  <si>
    <t>西村直前理事長、古川理事長、ご降壇下さい。</t>
    <rPh sb="0" eb="2">
      <t>ニシムラ</t>
    </rPh>
    <rPh sb="8" eb="10">
      <t>フルカワ</t>
    </rPh>
    <phoneticPr fontId="3"/>
  </si>
  <si>
    <t>閉会の辞  副理事長 　松永　公助 （まつなが　こうすけ）君</t>
    <rPh sb="0" eb="2">
      <t>ヘイカイ</t>
    </rPh>
    <rPh sb="3" eb="4">
      <t>ジ</t>
    </rPh>
    <rPh sb="6" eb="10">
      <t>フクリジチョウ</t>
    </rPh>
    <rPh sb="12" eb="14">
      <t>マツナガ</t>
    </rPh>
    <rPh sb="15" eb="16">
      <t>コウ</t>
    </rPh>
    <rPh sb="16" eb="17">
      <t>スケ</t>
    </rPh>
    <rPh sb="29" eb="30">
      <t>クン</t>
    </rPh>
    <phoneticPr fontId="3"/>
  </si>
  <si>
    <t xml:space="preserve">大変お待たせいたしました。これより「1月総会」をとりおこないます。本日は、シニア・クラブから会長の　川代　勇一（かわしろ　ゆういち）先輩、副会長の　 下津浦　信啓（しもつうら　のぶひろ）先輩にお越し頂いております。皆様ご起立の上、拍手でお迎えください。
</t>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8">
      <t>コ</t>
    </rPh>
    <rPh sb="107" eb="109">
      <t>ミナサマ</t>
    </rPh>
    <rPh sb="110" eb="112">
      <t>キリツ</t>
    </rPh>
    <rPh sb="113" eb="114">
      <t>ウエ</t>
    </rPh>
    <rPh sb="115" eb="117">
      <t>ハクシュ</t>
    </rPh>
    <rPh sb="118" eb="120">
      <t>オムカ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</si>
</sst>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b/>
      <sz val="10"/>
      <color theme="0"/>
      <name val="ＭＳ Ｐゴシック"/>
      <family val="3"/>
      <charset val="128"/>
    </font>
  </fonts>
  <fills count="6">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s>
  <borders count="51">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medium">
        <color indexed="64"/>
      </left>
      <right style="medium">
        <color indexed="64"/>
      </right>
      <top/>
      <bottom style="hair">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44">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6" fillId="2" borderId="3" xfId="0" applyFont="1" applyFill="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2" xfId="0" applyFont="1" applyBorder="1" applyAlignment="1">
      <alignment horizontal="center" vertical="center" wrapText="1" shrinkToFit="1"/>
    </xf>
    <xf numFmtId="20" fontId="4" fillId="0" borderId="13" xfId="0" applyNumberFormat="1" applyFont="1" applyBorder="1" applyAlignment="1">
      <alignment horizontal="right" vertical="center" wrapText="1" shrinkToFit="1"/>
    </xf>
    <xf numFmtId="20" fontId="8" fillId="0" borderId="14" xfId="0" applyNumberFormat="1" applyFont="1" applyBorder="1" applyAlignment="1">
      <alignment vertical="center" wrapText="1"/>
    </xf>
    <xf numFmtId="0" fontId="4" fillId="0" borderId="15" xfId="0" applyFont="1" applyBorder="1" applyAlignment="1">
      <alignment horizontal="center" vertical="center" wrapText="1" shrinkToFit="1"/>
    </xf>
    <xf numFmtId="0" fontId="4" fillId="0" borderId="16" xfId="0" applyFont="1" applyBorder="1" applyAlignment="1">
      <alignment horizontal="center" vertical="center" wrapText="1" shrinkToFit="1"/>
    </xf>
    <xf numFmtId="0" fontId="4" fillId="3" borderId="17" xfId="0" applyFont="1" applyFill="1" applyBorder="1" applyAlignment="1">
      <alignment vertical="center" wrapText="1" shrinkToFit="1"/>
    </xf>
    <xf numFmtId="0" fontId="4" fillId="3" borderId="18" xfId="0" applyFont="1" applyFill="1" applyBorder="1" applyAlignment="1">
      <alignment vertical="center" wrapText="1" shrinkToFit="1"/>
    </xf>
    <xf numFmtId="0" fontId="4" fillId="0" borderId="18" xfId="0" applyFont="1" applyBorder="1" applyAlignment="1">
      <alignment horizontal="center" vertical="center" wrapText="1" shrinkToFit="1"/>
    </xf>
    <xf numFmtId="0" fontId="4" fillId="0" borderId="19" xfId="0" applyFont="1" applyBorder="1" applyAlignment="1">
      <alignment horizontal="center" vertical="center" wrapText="1" shrinkToFit="1"/>
    </xf>
    <xf numFmtId="0" fontId="4" fillId="0" borderId="20" xfId="0" applyFont="1" applyBorder="1" applyAlignment="1">
      <alignment horizontal="center" vertical="center" wrapText="1" shrinkToFit="1"/>
    </xf>
    <xf numFmtId="0" fontId="4" fillId="0" borderId="21" xfId="0" applyFont="1" applyBorder="1" applyAlignment="1">
      <alignment horizontal="left" vertical="center" wrapText="1" shrinkToFit="1"/>
    </xf>
    <xf numFmtId="20" fontId="4" fillId="0" borderId="22" xfId="0" applyNumberFormat="1" applyFont="1" applyBorder="1" applyAlignment="1">
      <alignment horizontal="right" vertical="center" wrapText="1"/>
    </xf>
    <xf numFmtId="20" fontId="8" fillId="0" borderId="23" xfId="0" applyNumberFormat="1" applyFont="1" applyBorder="1" applyAlignment="1">
      <alignment vertical="center" wrapText="1"/>
    </xf>
    <xf numFmtId="0" fontId="9"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5" xfId="0" applyFont="1" applyBorder="1" applyAlignment="1">
      <alignment vertical="center" wrapText="1"/>
    </xf>
    <xf numFmtId="0" fontId="10" fillId="0" borderId="25" xfId="0" applyFont="1" applyBorder="1" applyAlignment="1">
      <alignment vertical="center" wrapText="1"/>
    </xf>
    <xf numFmtId="0" fontId="4" fillId="0" borderId="26" xfId="0" applyFont="1" applyBorder="1" applyAlignment="1">
      <alignment horizontal="right" vertical="center" wrapText="1"/>
    </xf>
    <xf numFmtId="0" fontId="4" fillId="0" borderId="27"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horizontal="center" vertical="center" wrapText="1"/>
    </xf>
    <xf numFmtId="0" fontId="4" fillId="0" borderId="28" xfId="0" applyFont="1" applyBorder="1" applyAlignment="1">
      <alignment vertical="center" wrapText="1"/>
    </xf>
    <xf numFmtId="20" fontId="4" fillId="0" borderId="27" xfId="0" applyNumberFormat="1" applyFont="1" applyBorder="1" applyAlignment="1">
      <alignment vertical="center" wrapText="1"/>
    </xf>
    <xf numFmtId="20" fontId="4" fillId="0" borderId="29" xfId="0" applyNumberFormat="1" applyFont="1" applyBorder="1" applyAlignment="1">
      <alignment vertical="center" wrapText="1"/>
    </xf>
    <xf numFmtId="0" fontId="4" fillId="0" borderId="20" xfId="0" applyFont="1" applyBorder="1" applyAlignment="1">
      <alignment horizontal="left" vertical="top" wrapText="1"/>
    </xf>
    <xf numFmtId="0" fontId="11" fillId="0" borderId="25" xfId="0" applyFont="1" applyBorder="1" applyAlignment="1">
      <alignment horizontal="left" vertical="top" wrapText="1"/>
    </xf>
    <xf numFmtId="0" fontId="4" fillId="0" borderId="22" xfId="0" applyFont="1" applyBorder="1" applyAlignment="1">
      <alignment horizontal="right" vertical="center" wrapText="1"/>
    </xf>
    <xf numFmtId="0" fontId="4" fillId="0" borderId="14" xfId="0" applyFont="1" applyBorder="1" applyAlignment="1">
      <alignment vertical="center" wrapText="1"/>
    </xf>
    <xf numFmtId="0" fontId="4" fillId="0" borderId="30" xfId="0" applyFont="1" applyBorder="1" applyAlignment="1">
      <alignment vertical="center" wrapText="1"/>
    </xf>
    <xf numFmtId="20" fontId="4" fillId="0" borderId="14" xfId="0" applyNumberFormat="1" applyFont="1" applyBorder="1" applyAlignment="1">
      <alignment vertical="center" wrapText="1"/>
    </xf>
    <xf numFmtId="0" fontId="4" fillId="0" borderId="17" xfId="0" applyFont="1" applyBorder="1" applyAlignment="1">
      <alignment horizontal="center" vertical="center" wrapText="1"/>
    </xf>
    <xf numFmtId="0" fontId="4" fillId="0" borderId="33" xfId="0" applyFont="1" applyBorder="1" applyAlignment="1">
      <alignment vertical="center" wrapText="1"/>
    </xf>
    <xf numFmtId="0" fontId="4" fillId="3" borderId="20" xfId="0" applyFont="1" applyFill="1" applyBorder="1" applyAlignment="1">
      <alignment vertical="center" wrapText="1"/>
    </xf>
    <xf numFmtId="0" fontId="4" fillId="3" borderId="18" xfId="0" applyFont="1" applyFill="1" applyBorder="1" applyAlignment="1">
      <alignment vertical="center" wrapText="1"/>
    </xf>
    <xf numFmtId="0" fontId="10" fillId="3" borderId="18" xfId="0" applyFont="1" applyFill="1" applyBorder="1" applyAlignment="1">
      <alignment vertical="center" wrapText="1"/>
    </xf>
    <xf numFmtId="0" fontId="4" fillId="0" borderId="16" xfId="0" applyFont="1" applyBorder="1" applyAlignment="1">
      <alignment horizontal="center" vertical="center" wrapText="1"/>
    </xf>
    <xf numFmtId="0" fontId="10" fillId="3" borderId="21" xfId="0" applyFont="1" applyFill="1" applyBorder="1" applyAlignment="1">
      <alignment vertical="center" wrapText="1"/>
    </xf>
    <xf numFmtId="0" fontId="11" fillId="4" borderId="20" xfId="0" applyFont="1" applyFill="1" applyBorder="1" applyAlignment="1">
      <alignment vertical="center" wrapText="1"/>
    </xf>
    <xf numFmtId="0" fontId="11" fillId="4" borderId="14" xfId="0" applyFont="1" applyFill="1" applyBorder="1" applyAlignment="1">
      <alignment vertical="center" wrapText="1"/>
    </xf>
    <xf numFmtId="0" fontId="10" fillId="0" borderId="20" xfId="0" applyFont="1" applyBorder="1" applyAlignment="1">
      <alignment vertical="center" wrapText="1"/>
    </xf>
    <xf numFmtId="0" fontId="4" fillId="0" borderId="30" xfId="0" applyFont="1" applyBorder="1" applyAlignment="1">
      <alignment horizontal="right" vertical="center" wrapText="1"/>
    </xf>
    <xf numFmtId="0" fontId="4" fillId="3" borderId="25" xfId="0" applyFont="1" applyFill="1" applyBorder="1" applyAlignment="1">
      <alignment vertical="center" wrapText="1"/>
    </xf>
    <xf numFmtId="0" fontId="4" fillId="0" borderId="37" xfId="0" applyFont="1" applyBorder="1" applyAlignment="1">
      <alignment horizontal="right" vertical="center" wrapText="1"/>
    </xf>
    <xf numFmtId="0" fontId="4" fillId="0" borderId="38" xfId="0" applyFont="1" applyBorder="1" applyAlignment="1">
      <alignment vertical="center" wrapText="1"/>
    </xf>
    <xf numFmtId="0" fontId="4" fillId="0" borderId="39" xfId="0" applyFont="1" applyBorder="1" applyAlignment="1">
      <alignment horizontal="right" vertical="center" wrapText="1"/>
    </xf>
    <xf numFmtId="0" fontId="4" fillId="0" borderId="40" xfId="0" applyFont="1" applyBorder="1" applyAlignment="1">
      <alignment horizontal="center" vertical="center" wrapText="1"/>
    </xf>
    <xf numFmtId="0" fontId="4" fillId="3" borderId="40" xfId="0" applyFont="1" applyFill="1" applyBorder="1" applyAlignment="1">
      <alignment vertical="center" wrapText="1"/>
    </xf>
    <xf numFmtId="0" fontId="4" fillId="3" borderId="41" xfId="0" applyFont="1" applyFill="1" applyBorder="1" applyAlignment="1">
      <alignment vertical="center" wrapText="1"/>
    </xf>
    <xf numFmtId="0" fontId="4" fillId="0" borderId="41" xfId="0" applyFont="1" applyBorder="1" applyAlignment="1">
      <alignment vertical="center" wrapText="1"/>
    </xf>
    <xf numFmtId="20" fontId="4" fillId="0" borderId="42" xfId="0" applyNumberFormat="1" applyFont="1" applyBorder="1" applyAlignment="1">
      <alignment horizontal="right" vertical="center" wrapText="1"/>
    </xf>
    <xf numFmtId="20" fontId="4" fillId="0" borderId="43" xfId="0" applyNumberFormat="1"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center"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10" fillId="0" borderId="25" xfId="0" applyFont="1" applyBorder="1" applyAlignment="1">
      <alignment vertical="center" wrapText="1" shrinkToFit="1"/>
    </xf>
    <xf numFmtId="0" fontId="4" fillId="0" borderId="47" xfId="0" applyFont="1" applyBorder="1" applyAlignment="1">
      <alignment horizontal="center" vertical="center" wrapText="1"/>
    </xf>
    <xf numFmtId="0" fontId="4" fillId="3" borderId="47" xfId="0" applyFont="1" applyFill="1" applyBorder="1" applyAlignment="1">
      <alignment vertical="center" wrapText="1"/>
    </xf>
    <xf numFmtId="0" fontId="4" fillId="3" borderId="33" xfId="0" applyFont="1" applyFill="1" applyBorder="1" applyAlignment="1">
      <alignment vertical="center" wrapText="1"/>
    </xf>
    <xf numFmtId="0" fontId="8" fillId="5" borderId="16" xfId="0" applyFont="1" applyFill="1" applyBorder="1" applyAlignment="1">
      <alignment horizontal="center" vertical="center" wrapText="1"/>
    </xf>
    <xf numFmtId="0" fontId="4" fillId="3" borderId="45" xfId="0" applyFont="1" applyFill="1" applyBorder="1" applyAlignment="1">
      <alignment vertical="center" wrapText="1"/>
    </xf>
    <xf numFmtId="0" fontId="12" fillId="3" borderId="21" xfId="0" applyFont="1" applyFill="1" applyBorder="1" applyAlignment="1">
      <alignment vertical="center" wrapText="1"/>
    </xf>
    <xf numFmtId="0" fontId="6" fillId="0" borderId="30" xfId="0" applyFont="1" applyBorder="1" applyAlignment="1">
      <alignment vertical="center" wrapText="1"/>
    </xf>
    <xf numFmtId="0" fontId="12" fillId="3" borderId="25" xfId="0" applyFont="1" applyFill="1" applyBorder="1" applyAlignment="1">
      <alignment vertical="center" wrapText="1"/>
    </xf>
    <xf numFmtId="0" fontId="12" fillId="3" borderId="33" xfId="0" applyFont="1" applyFill="1" applyBorder="1" applyAlignment="1">
      <alignment vertical="center" wrapText="1"/>
    </xf>
    <xf numFmtId="0" fontId="4" fillId="3" borderId="16" xfId="0" applyFont="1" applyFill="1" applyBorder="1" applyAlignment="1">
      <alignment vertical="center" wrapText="1"/>
    </xf>
    <xf numFmtId="0" fontId="8" fillId="5" borderId="17" xfId="0" applyFont="1" applyFill="1" applyBorder="1" applyAlignment="1">
      <alignment horizontal="center" vertical="center" wrapText="1"/>
    </xf>
    <xf numFmtId="0" fontId="4" fillId="3" borderId="48" xfId="0" applyFont="1" applyFill="1" applyBorder="1" applyAlignment="1">
      <alignment vertical="center" wrapText="1"/>
    </xf>
    <xf numFmtId="0" fontId="12" fillId="3" borderId="18" xfId="0" applyFont="1" applyFill="1" applyBorder="1" applyAlignment="1">
      <alignment vertical="center" wrapText="1"/>
    </xf>
    <xf numFmtId="0" fontId="4" fillId="0" borderId="30" xfId="0" applyFont="1" applyBorder="1" applyAlignment="1">
      <alignment horizontal="left" vertical="center" wrapText="1"/>
    </xf>
    <xf numFmtId="0" fontId="4" fillId="0" borderId="30" xfId="0" applyFont="1" applyBorder="1" applyAlignment="1">
      <alignment horizontal="center" vertical="center" wrapText="1"/>
    </xf>
    <xf numFmtId="0" fontId="8" fillId="5" borderId="47" xfId="0" applyFont="1" applyFill="1" applyBorder="1" applyAlignment="1">
      <alignment horizontal="center" vertical="center" wrapText="1"/>
    </xf>
    <xf numFmtId="0" fontId="12" fillId="3" borderId="40" xfId="0" applyFont="1" applyFill="1" applyBorder="1" applyAlignment="1">
      <alignment vertical="center" wrapText="1"/>
    </xf>
    <xf numFmtId="0" fontId="4" fillId="0" borderId="25" xfId="0" applyFont="1" applyBorder="1" applyAlignment="1">
      <alignment vertical="center"/>
    </xf>
    <xf numFmtId="0" fontId="12" fillId="3" borderId="47" xfId="0" applyFont="1" applyFill="1" applyBorder="1" applyAlignment="1">
      <alignment vertical="center" wrapText="1"/>
    </xf>
    <xf numFmtId="0" fontId="13" fillId="5" borderId="20" xfId="0" applyFont="1" applyFill="1" applyBorder="1" applyAlignment="1">
      <alignment horizontal="center" vertical="center" wrapText="1"/>
    </xf>
    <xf numFmtId="0" fontId="4" fillId="0" borderId="31" xfId="0" applyFont="1" applyBorder="1" applyAlignment="1">
      <alignment horizontal="right" vertical="center" wrapText="1"/>
    </xf>
    <xf numFmtId="0" fontId="4" fillId="0" borderId="23" xfId="0" applyFont="1" applyBorder="1" applyAlignment="1">
      <alignment vertical="center" wrapText="1"/>
    </xf>
    <xf numFmtId="0" fontId="8" fillId="5" borderId="20" xfId="0" applyFont="1" applyFill="1" applyBorder="1" applyAlignment="1">
      <alignment horizontal="center" vertical="center" wrapText="1"/>
    </xf>
    <xf numFmtId="0" fontId="12" fillId="3" borderId="48" xfId="0" applyFont="1" applyFill="1" applyBorder="1" applyAlignment="1">
      <alignment vertical="center" wrapText="1"/>
    </xf>
    <xf numFmtId="0" fontId="4" fillId="0" borderId="24" xfId="0" applyFont="1" applyBorder="1" applyAlignment="1">
      <alignment vertical="center" wrapText="1"/>
    </xf>
    <xf numFmtId="20" fontId="4" fillId="0" borderId="37" xfId="0" applyNumberFormat="1" applyFont="1" applyBorder="1" applyAlignment="1">
      <alignment horizontal="right" vertical="center" wrapText="1"/>
    </xf>
    <xf numFmtId="20" fontId="4" fillId="0" borderId="38" xfId="0" applyNumberFormat="1" applyFont="1" applyBorder="1" applyAlignment="1">
      <alignment vertical="center" wrapText="1"/>
    </xf>
    <xf numFmtId="0" fontId="4" fillId="0" borderId="39" xfId="0" applyFont="1" applyBorder="1" applyAlignment="1">
      <alignment vertical="center" wrapText="1"/>
    </xf>
    <xf numFmtId="0" fontId="8" fillId="5" borderId="49" xfId="0" applyFont="1" applyFill="1" applyBorder="1" applyAlignment="1">
      <alignment horizontal="center" vertical="center" wrapText="1"/>
    </xf>
    <xf numFmtId="0" fontId="4" fillId="3" borderId="49" xfId="0" applyFont="1" applyFill="1" applyBorder="1" applyAlignment="1">
      <alignment vertical="center" wrapText="1"/>
    </xf>
    <xf numFmtId="0" fontId="4" fillId="3" borderId="50" xfId="0" applyFont="1" applyFill="1" applyBorder="1" applyAlignment="1">
      <alignment vertical="center" wrapText="1"/>
    </xf>
    <xf numFmtId="0" fontId="4" fillId="0" borderId="13" xfId="0" applyFont="1" applyBorder="1" applyAlignment="1">
      <alignment horizontal="right" vertical="center" wrapText="1"/>
    </xf>
    <xf numFmtId="0" fontId="4" fillId="0" borderId="29" xfId="0" applyFont="1" applyBorder="1" applyAlignment="1">
      <alignment vertical="center" wrapText="1"/>
    </xf>
    <xf numFmtId="0" fontId="10" fillId="0" borderId="21" xfId="0" applyFont="1" applyBorder="1" applyAlignment="1">
      <alignment vertical="center" wrapText="1"/>
    </xf>
    <xf numFmtId="0" fontId="9" fillId="0" borderId="25" xfId="0" applyFont="1" applyBorder="1" applyAlignment="1">
      <alignment vertical="center" wrapText="1"/>
    </xf>
    <xf numFmtId="20" fontId="4" fillId="0" borderId="22" xfId="0" applyNumberFormat="1" applyFont="1" applyBorder="1" applyAlignment="1">
      <alignment vertical="center" wrapText="1"/>
    </xf>
    <xf numFmtId="0" fontId="4" fillId="4" borderId="20" xfId="0" applyFont="1" applyFill="1" applyBorder="1" applyAlignment="1">
      <alignment vertical="center" wrapText="1"/>
    </xf>
    <xf numFmtId="0" fontId="4" fillId="4" borderId="25" xfId="0" applyFont="1" applyFill="1" applyBorder="1" applyAlignment="1">
      <alignment vertical="center" wrapText="1"/>
    </xf>
    <xf numFmtId="0" fontId="4" fillId="0" borderId="40" xfId="0" applyFont="1" applyBorder="1" applyAlignment="1">
      <alignment vertical="center" wrapText="1"/>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5" xfId="0" applyFont="1" applyBorder="1" applyAlignment="1">
      <alignment vertical="center" shrinkToFit="1"/>
    </xf>
    <xf numFmtId="0" fontId="0" fillId="0" borderId="0" xfId="0" applyFont="1" applyAlignment="1">
      <alignment vertical="center"/>
    </xf>
    <xf numFmtId="0" fontId="10" fillId="3" borderId="16" xfId="0" applyFont="1" applyFill="1" applyBorder="1" applyAlignment="1">
      <alignment horizontal="left" vertical="center" wrapText="1" shrinkToFit="1"/>
    </xf>
    <xf numFmtId="0" fontId="10" fillId="3" borderId="21" xfId="0" applyFont="1" applyFill="1" applyBorder="1" applyAlignment="1">
      <alignment horizontal="left" vertical="center" wrapText="1" shrinkToFit="1"/>
    </xf>
    <xf numFmtId="0" fontId="10" fillId="3" borderId="20" xfId="0" applyFont="1" applyFill="1" applyBorder="1" applyAlignment="1">
      <alignment horizontal="left" vertical="center" wrapText="1"/>
    </xf>
    <xf numFmtId="0" fontId="10" fillId="3" borderId="25" xfId="0" applyFont="1" applyFill="1" applyBorder="1" applyAlignment="1">
      <alignment horizontal="left" vertical="center" wrapText="1"/>
    </xf>
    <xf numFmtId="0" fontId="4" fillId="4" borderId="41" xfId="0" applyFont="1" applyFill="1" applyBorder="1" applyAlignment="1">
      <alignment vertical="center" wrapText="1"/>
    </xf>
    <xf numFmtId="20" fontId="4" fillId="0" borderId="31" xfId="0" applyNumberFormat="1" applyFont="1" applyBorder="1" applyAlignment="1">
      <alignment horizontal="right" vertical="center" wrapText="1"/>
    </xf>
    <xf numFmtId="20" fontId="4" fillId="0" borderId="34" xfId="0" applyNumberFormat="1" applyFont="1" applyBorder="1" applyAlignment="1">
      <alignment horizontal="right" vertical="center" wrapText="1"/>
    </xf>
    <xf numFmtId="0" fontId="4" fillId="0" borderId="13" xfId="0" applyFont="1" applyBorder="1" applyAlignment="1">
      <alignment horizontal="right" vertical="center" wrapText="1"/>
    </xf>
    <xf numFmtId="20" fontId="4" fillId="0" borderId="32" xfId="0" applyNumberFormat="1" applyFont="1" applyBorder="1" applyAlignment="1">
      <alignment horizontal="right" vertical="center" wrapText="1"/>
    </xf>
    <xf numFmtId="0" fontId="0" fillId="0" borderId="35" xfId="0" applyFont="1" applyBorder="1" applyAlignment="1">
      <alignment horizontal="right" vertical="center" wrapText="1"/>
    </xf>
    <xf numFmtId="0" fontId="0" fillId="0" borderId="36" xfId="0" applyFont="1" applyBorder="1" applyAlignment="1">
      <alignment horizontal="right" vertical="center" wrapText="1"/>
    </xf>
    <xf numFmtId="0" fontId="4" fillId="0" borderId="2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2" borderId="1" xfId="0" applyFont="1" applyFill="1" applyBorder="1" applyAlignment="1">
      <alignment vertical="center"/>
    </xf>
    <xf numFmtId="0" fontId="7" fillId="2" borderId="2" xfId="0" applyFont="1" applyFill="1" applyBorder="1" applyAlignment="1">
      <alignment vertical="center"/>
    </xf>
    <xf numFmtId="0" fontId="4" fillId="0" borderId="4"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Font="1" applyBorder="1" applyAlignment="1">
      <alignment horizontal="center" vertical="center"/>
    </xf>
    <xf numFmtId="0" fontId="4" fillId="0" borderId="24" xfId="0" applyFont="1" applyBorder="1" applyAlignment="1">
      <alignment horizontal="center"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
  <sheetViews>
    <sheetView tabSelected="1" zoomScale="97" zoomScaleNormal="97" zoomScaleSheetLayoutView="118" workbookViewId="0">
      <selection activeCell="E105" sqref="E105"/>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16384" width="13" style="1"/>
  </cols>
  <sheetData>
    <row r="1" spans="1:7" ht="21.75" customHeight="1" x14ac:dyDescent="0.15">
      <c r="A1" s="129" t="s">
        <v>128</v>
      </c>
      <c r="B1" s="129"/>
      <c r="C1" s="129"/>
      <c r="D1" s="129"/>
      <c r="E1" s="129"/>
      <c r="F1" s="129"/>
      <c r="G1" s="129"/>
    </row>
    <row r="2" spans="1:7" x14ac:dyDescent="0.15">
      <c r="B2" s="2"/>
      <c r="G2" s="3">
        <f ca="1">NOW()</f>
        <v>44164.103717245373</v>
      </c>
    </row>
    <row r="3" spans="1:7" ht="21.75" customHeight="1" x14ac:dyDescent="0.15">
      <c r="A3" s="130" t="s">
        <v>127</v>
      </c>
      <c r="B3" s="130"/>
      <c r="C3" s="130"/>
      <c r="D3" s="130"/>
      <c r="E3" s="130"/>
      <c r="F3" s="130"/>
      <c r="G3" s="130"/>
    </row>
    <row r="4" spans="1:7" ht="17.25" customHeight="1" x14ac:dyDescent="0.15">
      <c r="B4" s="2"/>
    </row>
    <row r="5" spans="1:7" ht="17.25" customHeight="1" x14ac:dyDescent="0.15">
      <c r="B5" s="2" t="s">
        <v>0</v>
      </c>
      <c r="C5" s="4" t="s">
        <v>1</v>
      </c>
      <c r="D5" s="5">
        <v>0.625</v>
      </c>
      <c r="E5" s="1" t="s">
        <v>129</v>
      </c>
      <c r="F5" s="114"/>
      <c r="G5" s="1" t="s">
        <v>109</v>
      </c>
    </row>
    <row r="6" spans="1:7" ht="17.25" customHeight="1" x14ac:dyDescent="0.15">
      <c r="B6" s="2"/>
      <c r="C6" s="1" t="s">
        <v>110</v>
      </c>
      <c r="D6" s="5">
        <v>0.65625</v>
      </c>
      <c r="E6" s="1" t="s">
        <v>130</v>
      </c>
    </row>
    <row r="7" spans="1:7" ht="17.25" customHeight="1" x14ac:dyDescent="0.15">
      <c r="B7" s="2"/>
      <c r="D7" s="5">
        <v>0.6875</v>
      </c>
    </row>
    <row r="8" spans="1:7" ht="17.25" customHeight="1" x14ac:dyDescent="0.15">
      <c r="B8" s="2"/>
      <c r="D8" s="2" t="s">
        <v>2</v>
      </c>
      <c r="E8" s="1" t="s">
        <v>111</v>
      </c>
    </row>
    <row r="9" spans="1:7" ht="17.25" customHeight="1" x14ac:dyDescent="0.15">
      <c r="B9" s="2"/>
    </row>
    <row r="10" spans="1:7" ht="17.25" customHeight="1" x14ac:dyDescent="0.15">
      <c r="B10" s="2" t="s">
        <v>3</v>
      </c>
      <c r="C10" s="4" t="s">
        <v>4</v>
      </c>
      <c r="E10" s="1" t="s">
        <v>131</v>
      </c>
    </row>
    <row r="11" spans="1:7" ht="17.25" customHeight="1" x14ac:dyDescent="0.15">
      <c r="B11" s="2"/>
      <c r="C11" s="6" t="s">
        <v>5</v>
      </c>
      <c r="E11" s="1" t="s">
        <v>132</v>
      </c>
    </row>
    <row r="12" spans="1:7" ht="17.25" customHeight="1" x14ac:dyDescent="0.15">
      <c r="B12" s="2"/>
      <c r="C12" s="6" t="s">
        <v>6</v>
      </c>
      <c r="E12" s="1" t="s">
        <v>133</v>
      </c>
      <c r="F12" s="1" t="s">
        <v>134</v>
      </c>
    </row>
    <row r="13" spans="1:7" ht="17.25" customHeight="1" x14ac:dyDescent="0.15">
      <c r="B13" s="2"/>
      <c r="C13" s="6" t="s">
        <v>112</v>
      </c>
      <c r="E13" s="1" t="s">
        <v>135</v>
      </c>
    </row>
    <row r="14" spans="1:7" ht="17.25" customHeight="1" x14ac:dyDescent="0.15">
      <c r="B14" s="2"/>
      <c r="C14" s="6" t="s">
        <v>7</v>
      </c>
      <c r="E14" s="1" t="s">
        <v>136</v>
      </c>
    </row>
    <row r="15" spans="1:7" ht="17.25" customHeight="1" x14ac:dyDescent="0.15">
      <c r="B15" s="2"/>
      <c r="C15" s="6" t="s">
        <v>8</v>
      </c>
      <c r="E15" s="1" t="s">
        <v>137</v>
      </c>
    </row>
    <row r="16" spans="1:7" ht="17.25" customHeight="1" x14ac:dyDescent="0.15">
      <c r="B16" s="2"/>
      <c r="C16" s="2" t="s">
        <v>9</v>
      </c>
    </row>
    <row r="17" spans="1:7" ht="17.25" customHeight="1" x14ac:dyDescent="0.15">
      <c r="B17" s="2" t="s">
        <v>3</v>
      </c>
      <c r="C17" s="4" t="s">
        <v>10</v>
      </c>
    </row>
    <row r="18" spans="1:7" ht="17.25" customHeight="1" x14ac:dyDescent="0.15">
      <c r="B18" s="2"/>
      <c r="C18" s="6" t="s">
        <v>11</v>
      </c>
      <c r="E18" s="1" t="s">
        <v>138</v>
      </c>
    </row>
    <row r="19" spans="1:7" ht="17.25" customHeight="1" x14ac:dyDescent="0.15">
      <c r="B19" s="2"/>
      <c r="C19" s="6" t="s">
        <v>12</v>
      </c>
      <c r="E19" s="1" t="s">
        <v>139</v>
      </c>
      <c r="F19" s="1" t="s">
        <v>13</v>
      </c>
    </row>
    <row r="20" spans="1:7" ht="17.25" customHeight="1" x14ac:dyDescent="0.15">
      <c r="B20" s="2" t="s">
        <v>3</v>
      </c>
      <c r="C20" s="4" t="s">
        <v>14</v>
      </c>
    </row>
    <row r="21" spans="1:7" ht="17.25" customHeight="1" x14ac:dyDescent="0.15">
      <c r="B21" s="2"/>
      <c r="C21" s="6" t="s">
        <v>15</v>
      </c>
      <c r="E21" s="1" t="s">
        <v>140</v>
      </c>
    </row>
    <row r="22" spans="1:7" ht="17.25" customHeight="1" x14ac:dyDescent="0.15">
      <c r="B22" s="2"/>
      <c r="C22" s="6" t="s">
        <v>16</v>
      </c>
      <c r="E22" s="1" t="s">
        <v>113</v>
      </c>
    </row>
    <row r="23" spans="1:7" ht="17.25" customHeight="1" x14ac:dyDescent="0.15">
      <c r="B23" s="2"/>
      <c r="C23" s="6" t="s">
        <v>122</v>
      </c>
      <c r="E23" s="1" t="s">
        <v>141</v>
      </c>
    </row>
    <row r="24" spans="1:7" ht="17.25" customHeight="1" x14ac:dyDescent="0.15">
      <c r="B24" s="2"/>
      <c r="C24" s="6" t="s">
        <v>17</v>
      </c>
      <c r="E24" s="1" t="s">
        <v>140</v>
      </c>
      <c r="F24" s="1" t="s">
        <v>114</v>
      </c>
    </row>
    <row r="25" spans="1:7" ht="17.25" customHeight="1" x14ac:dyDescent="0.15">
      <c r="B25" s="2"/>
      <c r="C25" s="6" t="s">
        <v>18</v>
      </c>
      <c r="E25" s="1" t="s">
        <v>142</v>
      </c>
    </row>
    <row r="26" spans="1:7" ht="17.25" customHeight="1" x14ac:dyDescent="0.15"/>
    <row r="27" spans="1:7" ht="17.25" customHeight="1" thickBot="1" x14ac:dyDescent="0.2">
      <c r="A27" s="2"/>
      <c r="B27" s="2" t="s">
        <v>19</v>
      </c>
      <c r="C27" s="131" t="s">
        <v>20</v>
      </c>
      <c r="D27" s="131"/>
      <c r="E27" s="131"/>
      <c r="F27" s="7"/>
    </row>
    <row r="28" spans="1:7" ht="17.25" customHeight="1" thickTop="1" thickBot="1" x14ac:dyDescent="0.2">
      <c r="A28" s="8"/>
      <c r="B28" s="8"/>
      <c r="C28" s="132" t="s">
        <v>21</v>
      </c>
      <c r="D28" s="133"/>
      <c r="E28" s="9" t="s">
        <v>22</v>
      </c>
      <c r="F28" s="9" t="s">
        <v>23</v>
      </c>
      <c r="G28" s="9" t="s">
        <v>24</v>
      </c>
    </row>
    <row r="29" spans="1:7" ht="17.25" customHeight="1" thickTop="1" x14ac:dyDescent="0.15">
      <c r="C29" s="134" t="s">
        <v>25</v>
      </c>
      <c r="D29" s="135"/>
      <c r="E29" s="10" t="s">
        <v>26</v>
      </c>
      <c r="F29" s="10" t="s">
        <v>117</v>
      </c>
      <c r="G29" s="10" t="s">
        <v>27</v>
      </c>
    </row>
    <row r="30" spans="1:7" ht="17.25" customHeight="1" x14ac:dyDescent="0.15">
      <c r="C30" s="136" t="s">
        <v>28</v>
      </c>
      <c r="D30" s="137"/>
      <c r="E30" s="113" t="s">
        <v>116</v>
      </c>
      <c r="F30" s="11" t="s">
        <v>118</v>
      </c>
      <c r="G30" s="11" t="s">
        <v>29</v>
      </c>
    </row>
    <row r="31" spans="1:7" ht="17.25" customHeight="1" x14ac:dyDescent="0.15">
      <c r="C31" s="136" t="s">
        <v>30</v>
      </c>
      <c r="D31" s="137"/>
      <c r="E31" s="113" t="s">
        <v>115</v>
      </c>
      <c r="F31" s="11" t="s">
        <v>32</v>
      </c>
      <c r="G31" s="11" t="s">
        <v>31</v>
      </c>
    </row>
    <row r="32" spans="1:7" ht="17.25" customHeight="1" x14ac:dyDescent="0.15">
      <c r="C32" s="136"/>
      <c r="D32" s="137"/>
      <c r="E32" s="11" t="s">
        <v>125</v>
      </c>
      <c r="F32" s="11" t="s">
        <v>35</v>
      </c>
      <c r="G32" s="11" t="s">
        <v>33</v>
      </c>
    </row>
    <row r="33" spans="1:7" ht="17.25" customHeight="1" x14ac:dyDescent="0.15">
      <c r="C33" s="136"/>
      <c r="D33" s="137"/>
      <c r="E33" s="11" t="s">
        <v>34</v>
      </c>
      <c r="F33" s="11" t="s">
        <v>37</v>
      </c>
      <c r="G33" s="113" t="s">
        <v>143</v>
      </c>
    </row>
    <row r="34" spans="1:7" ht="17.25" customHeight="1" x14ac:dyDescent="0.15">
      <c r="C34" s="136"/>
      <c r="D34" s="137"/>
      <c r="E34" s="11" t="s">
        <v>36</v>
      </c>
      <c r="F34" s="11" t="s">
        <v>38</v>
      </c>
      <c r="G34" s="113" t="s">
        <v>144</v>
      </c>
    </row>
    <row r="35" spans="1:7" ht="17.25" customHeight="1" x14ac:dyDescent="0.15">
      <c r="C35" s="141"/>
      <c r="D35" s="142"/>
      <c r="E35" s="11" t="s">
        <v>126</v>
      </c>
      <c r="F35" s="11"/>
      <c r="G35" s="11"/>
    </row>
    <row r="36" spans="1:7" ht="18.75" customHeight="1" thickBot="1" x14ac:dyDescent="0.2">
      <c r="B36" s="2"/>
    </row>
    <row r="37" spans="1:7" ht="23.25" customHeight="1" x14ac:dyDescent="0.15">
      <c r="A37" s="12" t="s">
        <v>39</v>
      </c>
      <c r="B37" s="13" t="s">
        <v>40</v>
      </c>
      <c r="C37" s="14" t="s">
        <v>41</v>
      </c>
      <c r="D37" s="15"/>
      <c r="E37" s="15" t="s">
        <v>42</v>
      </c>
      <c r="F37" s="16" t="s">
        <v>43</v>
      </c>
      <c r="G37" s="16" t="s">
        <v>44</v>
      </c>
    </row>
    <row r="38" spans="1:7" ht="17.25" customHeight="1" x14ac:dyDescent="0.15">
      <c r="A38" s="17">
        <f>A39-B38</f>
        <v>0.70138888888888884</v>
      </c>
      <c r="B38" s="18">
        <v>2.0833333333333332E-2</v>
      </c>
      <c r="C38" s="19"/>
      <c r="D38" s="20"/>
      <c r="E38" s="21"/>
      <c r="F38" s="22" t="s">
        <v>45</v>
      </c>
      <c r="G38" s="23"/>
    </row>
    <row r="39" spans="1:7" x14ac:dyDescent="0.15">
      <c r="A39" s="17">
        <f>A40-B39</f>
        <v>0.72222222222222221</v>
      </c>
      <c r="B39" s="18">
        <v>3.472222222222222E-3</v>
      </c>
      <c r="C39" s="24"/>
      <c r="D39" s="25"/>
      <c r="E39" s="115"/>
      <c r="F39" s="116" t="s">
        <v>146</v>
      </c>
      <c r="G39" s="26"/>
    </row>
    <row r="40" spans="1:7" ht="24.75" customHeight="1" x14ac:dyDescent="0.15">
      <c r="A40" s="27">
        <f>A45-B40</f>
        <v>0.72569444444444442</v>
      </c>
      <c r="B40" s="28">
        <v>3.472222222222222E-3</v>
      </c>
      <c r="C40" s="143" t="s">
        <v>145</v>
      </c>
      <c r="D40" s="29"/>
      <c r="E40" s="30" t="s">
        <v>46</v>
      </c>
      <c r="F40" s="31"/>
      <c r="G40" s="32" t="s">
        <v>119</v>
      </c>
    </row>
    <row r="41" spans="1:7" ht="24.75" customHeight="1" x14ac:dyDescent="0.15">
      <c r="A41" s="33"/>
      <c r="B41" s="34"/>
      <c r="C41" s="35"/>
      <c r="D41" s="36"/>
      <c r="E41" s="30" t="s">
        <v>47</v>
      </c>
      <c r="F41" s="31"/>
      <c r="G41" s="31" t="s">
        <v>48</v>
      </c>
    </row>
    <row r="42" spans="1:7" ht="24" x14ac:dyDescent="0.15">
      <c r="A42" s="33"/>
      <c r="B42" s="34"/>
      <c r="C42" s="37"/>
      <c r="D42" s="36"/>
      <c r="E42" s="30" t="s">
        <v>49</v>
      </c>
      <c r="F42" s="31"/>
      <c r="G42" s="31"/>
    </row>
    <row r="43" spans="1:7" ht="24" x14ac:dyDescent="0.15">
      <c r="A43" s="33"/>
      <c r="B43" s="34"/>
      <c r="C43" s="37"/>
      <c r="D43" s="36"/>
      <c r="E43" s="48"/>
      <c r="F43" s="57" t="s">
        <v>148</v>
      </c>
      <c r="G43" s="31" t="s">
        <v>147</v>
      </c>
    </row>
    <row r="44" spans="1:7" ht="12.75" customHeight="1" x14ac:dyDescent="0.15">
      <c r="A44" s="33"/>
      <c r="B44" s="38"/>
      <c r="C44" s="37"/>
      <c r="D44" s="36"/>
      <c r="E44" s="48"/>
      <c r="F44" s="57"/>
      <c r="G44" s="31"/>
    </row>
    <row r="45" spans="1:7" ht="48" x14ac:dyDescent="0.15">
      <c r="A45" s="27">
        <v>0.72916666666666663</v>
      </c>
      <c r="B45" s="39">
        <v>6.9444444444444447E-4</v>
      </c>
      <c r="C45" s="37"/>
      <c r="D45" s="36"/>
      <c r="E45" s="40" t="s">
        <v>183</v>
      </c>
      <c r="F45" s="41"/>
      <c r="G45" s="57" t="s">
        <v>149</v>
      </c>
    </row>
    <row r="46" spans="1:7" ht="17.25" customHeight="1" x14ac:dyDescent="0.15">
      <c r="A46" s="42"/>
      <c r="B46" s="43"/>
      <c r="C46" s="44"/>
      <c r="D46" s="36"/>
      <c r="E46" s="48"/>
      <c r="F46" s="57"/>
      <c r="G46" s="31"/>
    </row>
    <row r="47" spans="1:7" ht="24" x14ac:dyDescent="0.15">
      <c r="A47" s="42"/>
      <c r="B47" s="43"/>
      <c r="C47" s="44"/>
      <c r="D47" s="36"/>
      <c r="E47" s="48"/>
      <c r="F47" s="57"/>
      <c r="G47" s="31" t="s">
        <v>50</v>
      </c>
    </row>
    <row r="48" spans="1:7" ht="17.25" customHeight="1" x14ac:dyDescent="0.15">
      <c r="A48" s="42"/>
      <c r="B48" s="43"/>
      <c r="C48" s="44"/>
      <c r="D48" s="36"/>
      <c r="E48" s="30" t="s">
        <v>51</v>
      </c>
      <c r="F48" s="31"/>
      <c r="G48" s="31"/>
    </row>
    <row r="49" spans="1:7" ht="17.25" customHeight="1" x14ac:dyDescent="0.15">
      <c r="A49" s="27">
        <v>0.72986111111111107</v>
      </c>
      <c r="B49" s="45">
        <v>6.9444444444444447E-4</v>
      </c>
      <c r="C49" s="44" t="s">
        <v>52</v>
      </c>
      <c r="D49" s="36"/>
      <c r="E49" s="30" t="s">
        <v>120</v>
      </c>
      <c r="F49" s="31"/>
      <c r="G49" s="31"/>
    </row>
    <row r="50" spans="1:7" ht="17.25" customHeight="1" x14ac:dyDescent="0.15">
      <c r="A50" s="27">
        <f>A49+B49</f>
        <v>0.73055555555555551</v>
      </c>
      <c r="B50" s="45">
        <v>1.3888888888888889E-3</v>
      </c>
      <c r="C50" s="44" t="s">
        <v>53</v>
      </c>
      <c r="D50" s="36"/>
      <c r="E50" s="30" t="s">
        <v>54</v>
      </c>
      <c r="F50" s="31" t="s">
        <v>121</v>
      </c>
      <c r="G50" s="32"/>
    </row>
    <row r="51" spans="1:7" ht="17.25" customHeight="1" x14ac:dyDescent="0.15">
      <c r="A51" s="27">
        <f>A50+B50</f>
        <v>0.7319444444444444</v>
      </c>
      <c r="B51" s="45">
        <v>1.3888888888888889E-3</v>
      </c>
      <c r="C51" s="44" t="s">
        <v>55</v>
      </c>
      <c r="D51" s="36"/>
      <c r="E51" s="30" t="s">
        <v>56</v>
      </c>
      <c r="F51" s="31"/>
      <c r="G51" s="32"/>
    </row>
    <row r="52" spans="1:7" ht="17.25" customHeight="1" x14ac:dyDescent="0.15">
      <c r="A52" s="27">
        <f>A51+B51</f>
        <v>0.73333333333333328</v>
      </c>
      <c r="B52" s="45">
        <v>6.9444444444444447E-4</v>
      </c>
      <c r="C52" s="44" t="s">
        <v>57</v>
      </c>
      <c r="D52" s="36"/>
      <c r="E52" s="30" t="s">
        <v>150</v>
      </c>
      <c r="F52" s="31"/>
      <c r="G52" s="31"/>
    </row>
    <row r="53" spans="1:7" ht="24" x14ac:dyDescent="0.15">
      <c r="A53" s="27">
        <f>A52+B52</f>
        <v>0.73402777777777772</v>
      </c>
      <c r="B53" s="45">
        <v>6.9444444444444447E-4</v>
      </c>
      <c r="C53" s="44" t="s">
        <v>58</v>
      </c>
      <c r="D53" s="36"/>
      <c r="E53" s="30" t="s">
        <v>151</v>
      </c>
      <c r="F53" s="31"/>
      <c r="G53" s="31"/>
    </row>
    <row r="54" spans="1:7" ht="24" x14ac:dyDescent="0.15">
      <c r="A54" s="27">
        <f>A53+B53</f>
        <v>0.73472222222222217</v>
      </c>
      <c r="B54" s="45">
        <v>6.9444444444444447E-4</v>
      </c>
      <c r="C54" s="44" t="s">
        <v>59</v>
      </c>
      <c r="D54" s="36"/>
      <c r="E54" s="30" t="s">
        <v>152</v>
      </c>
      <c r="F54" s="31"/>
      <c r="G54" s="31"/>
    </row>
    <row r="55" spans="1:7" ht="17.25" customHeight="1" x14ac:dyDescent="0.15">
      <c r="A55" s="42"/>
      <c r="B55" s="43"/>
      <c r="C55" s="44"/>
      <c r="D55" s="36"/>
      <c r="E55" s="30" t="s">
        <v>60</v>
      </c>
      <c r="F55" s="31"/>
      <c r="G55" s="31"/>
    </row>
    <row r="56" spans="1:7" ht="17.25" customHeight="1" x14ac:dyDescent="0.15">
      <c r="A56" s="120"/>
      <c r="B56" s="123"/>
      <c r="C56" s="126" t="s">
        <v>61</v>
      </c>
      <c r="D56" s="46"/>
      <c r="E56" s="30" t="s">
        <v>62</v>
      </c>
      <c r="F56" s="47"/>
      <c r="G56" s="138"/>
    </row>
    <row r="57" spans="1:7" ht="17.25" customHeight="1" x14ac:dyDescent="0.15">
      <c r="A57" s="121"/>
      <c r="B57" s="124"/>
      <c r="C57" s="127"/>
      <c r="D57" s="46"/>
      <c r="E57" s="48" t="s">
        <v>63</v>
      </c>
      <c r="F57" s="49"/>
      <c r="G57" s="139"/>
    </row>
    <row r="58" spans="1:7" ht="17.25" customHeight="1" x14ac:dyDescent="0.15">
      <c r="A58" s="121"/>
      <c r="B58" s="124"/>
      <c r="C58" s="127"/>
      <c r="D58" s="46"/>
      <c r="E58" s="48" t="s">
        <v>153</v>
      </c>
      <c r="F58" s="50"/>
      <c r="G58" s="139"/>
    </row>
    <row r="59" spans="1:7" ht="17.25" customHeight="1" x14ac:dyDescent="0.15">
      <c r="A59" s="122"/>
      <c r="B59" s="125"/>
      <c r="C59" s="128"/>
      <c r="D59" s="51"/>
      <c r="E59" s="48" t="s">
        <v>154</v>
      </c>
      <c r="F59" s="52"/>
      <c r="G59" s="140"/>
    </row>
    <row r="60" spans="1:7" ht="17.25" customHeight="1" x14ac:dyDescent="0.15">
      <c r="A60" s="27">
        <f>A54+B54</f>
        <v>0.73541666666666661</v>
      </c>
      <c r="B60" s="45">
        <v>5.5555555555555558E-3</v>
      </c>
      <c r="C60" s="44" t="s">
        <v>64</v>
      </c>
      <c r="D60" s="36"/>
      <c r="E60" s="30" t="s">
        <v>155</v>
      </c>
      <c r="F60" s="31"/>
      <c r="G60" s="31"/>
    </row>
    <row r="61" spans="1:7" ht="17.25" customHeight="1" x14ac:dyDescent="0.15">
      <c r="A61" s="27">
        <f>A60+B60</f>
        <v>0.74097222222222214</v>
      </c>
      <c r="B61" s="45">
        <v>4.1666666666666666E-3</v>
      </c>
      <c r="C61" s="44" t="s">
        <v>65</v>
      </c>
      <c r="D61" s="36"/>
      <c r="E61" s="30" t="s">
        <v>156</v>
      </c>
      <c r="F61" s="31"/>
      <c r="G61" s="31"/>
    </row>
    <row r="62" spans="1:7" ht="17.25" customHeight="1" x14ac:dyDescent="0.15">
      <c r="A62" s="27">
        <f>A61+B61</f>
        <v>0.7451388888888888</v>
      </c>
      <c r="B62" s="45">
        <v>4.1666666666666666E-3</v>
      </c>
      <c r="C62" s="44" t="s">
        <v>66</v>
      </c>
      <c r="D62" s="36"/>
      <c r="E62" s="30" t="s">
        <v>157</v>
      </c>
      <c r="F62" s="31"/>
      <c r="G62" s="31"/>
    </row>
    <row r="63" spans="1:7" ht="101.25" customHeight="1" x14ac:dyDescent="0.15">
      <c r="A63" s="27">
        <f>A62+B62</f>
        <v>0.74930555555555545</v>
      </c>
      <c r="B63" s="45">
        <v>6.9444444444444447E-4</v>
      </c>
      <c r="C63" s="44" t="s">
        <v>67</v>
      </c>
      <c r="D63" s="36"/>
      <c r="E63" s="53" t="s">
        <v>159</v>
      </c>
      <c r="F63" s="54"/>
      <c r="G63" s="55" t="s">
        <v>68</v>
      </c>
    </row>
    <row r="64" spans="1:7" ht="24" x14ac:dyDescent="0.15">
      <c r="A64" s="42"/>
      <c r="B64" s="43"/>
      <c r="C64" s="44"/>
      <c r="D64" s="36"/>
      <c r="E64" s="30" t="s">
        <v>158</v>
      </c>
      <c r="F64" s="31"/>
      <c r="G64" s="31"/>
    </row>
    <row r="65" spans="1:7" ht="36" x14ac:dyDescent="0.15">
      <c r="A65" s="27">
        <f>A63+B63</f>
        <v>0.74999999999999989</v>
      </c>
      <c r="B65" s="45">
        <v>2.0833333333333333E-3</v>
      </c>
      <c r="C65" s="44" t="s">
        <v>69</v>
      </c>
      <c r="D65" s="36"/>
      <c r="E65" s="30" t="s">
        <v>70</v>
      </c>
      <c r="F65" s="31"/>
      <c r="G65" s="32" t="s">
        <v>71</v>
      </c>
    </row>
    <row r="66" spans="1:7" ht="17.25" customHeight="1" x14ac:dyDescent="0.15">
      <c r="A66" s="42"/>
      <c r="B66" s="43"/>
      <c r="C66" s="44" t="s">
        <v>72</v>
      </c>
      <c r="D66" s="36"/>
      <c r="E66" s="30" t="s">
        <v>160</v>
      </c>
      <c r="F66" s="31"/>
      <c r="G66" s="31"/>
    </row>
    <row r="67" spans="1:7" ht="17.25" customHeight="1" x14ac:dyDescent="0.15">
      <c r="A67" s="42"/>
      <c r="B67" s="43"/>
      <c r="C67" s="44"/>
      <c r="D67" s="36"/>
      <c r="E67" s="30"/>
      <c r="F67" s="31"/>
      <c r="G67" s="31"/>
    </row>
    <row r="68" spans="1:7" ht="24" x14ac:dyDescent="0.15">
      <c r="A68" s="42"/>
      <c r="B68" s="43"/>
      <c r="C68" s="44"/>
      <c r="D68" s="36"/>
      <c r="E68" s="30" t="s">
        <v>161</v>
      </c>
      <c r="F68" s="31"/>
      <c r="G68" s="31"/>
    </row>
    <row r="69" spans="1:7" x14ac:dyDescent="0.15">
      <c r="A69" s="27">
        <f>A65+B65</f>
        <v>0.75208333333333321</v>
      </c>
      <c r="B69" s="45">
        <v>1.3888888888888889E-3</v>
      </c>
      <c r="C69" s="44" t="s">
        <v>69</v>
      </c>
      <c r="D69" s="36"/>
      <c r="E69" s="30" t="s">
        <v>70</v>
      </c>
      <c r="F69" s="31"/>
      <c r="G69" s="32"/>
    </row>
    <row r="70" spans="1:7" ht="17.25" customHeight="1" x14ac:dyDescent="0.15">
      <c r="A70" s="42"/>
      <c r="B70" s="43"/>
      <c r="C70" s="44" t="s">
        <v>73</v>
      </c>
      <c r="D70" s="36"/>
      <c r="E70" s="30" t="s">
        <v>162</v>
      </c>
      <c r="F70" s="31"/>
      <c r="G70" s="31"/>
    </row>
    <row r="71" spans="1:7" ht="17.25" customHeight="1" x14ac:dyDescent="0.15">
      <c r="A71" s="42"/>
      <c r="B71" s="43"/>
      <c r="C71" s="44"/>
      <c r="D71" s="36"/>
      <c r="E71" s="30"/>
      <c r="F71" s="31"/>
      <c r="G71" s="31"/>
    </row>
    <row r="72" spans="1:7" ht="17.25" customHeight="1" x14ac:dyDescent="0.15">
      <c r="A72" s="27">
        <f>A69+B69</f>
        <v>0.7534722222222221</v>
      </c>
      <c r="B72" s="45">
        <v>6.9444444444444447E-4</v>
      </c>
      <c r="C72" s="44" t="s">
        <v>74</v>
      </c>
      <c r="D72" s="36"/>
      <c r="E72" s="30" t="s">
        <v>163</v>
      </c>
      <c r="F72" s="31"/>
      <c r="G72" s="31"/>
    </row>
    <row r="73" spans="1:7" ht="36" x14ac:dyDescent="0.15">
      <c r="A73" s="42"/>
      <c r="B73" s="43"/>
      <c r="C73" s="56"/>
      <c r="D73" s="36" t="s">
        <v>75</v>
      </c>
      <c r="E73" s="48" t="s">
        <v>164</v>
      </c>
      <c r="F73" s="57"/>
      <c r="G73" s="31" t="s">
        <v>165</v>
      </c>
    </row>
    <row r="74" spans="1:7" ht="17.25" customHeight="1" thickBot="1" x14ac:dyDescent="0.2">
      <c r="A74" s="58"/>
      <c r="B74" s="59"/>
      <c r="C74" s="60"/>
      <c r="D74" s="61" t="s">
        <v>75</v>
      </c>
      <c r="E74" s="62" t="s">
        <v>76</v>
      </c>
      <c r="F74" s="63"/>
      <c r="G74" s="64" t="s">
        <v>77</v>
      </c>
    </row>
    <row r="75" spans="1:7" ht="17.25" customHeight="1" x14ac:dyDescent="0.15">
      <c r="A75" s="65">
        <f>A72+B72</f>
        <v>0.75416666666666654</v>
      </c>
      <c r="B75" s="66">
        <v>6.9444444444444447E-4</v>
      </c>
      <c r="C75" s="67" t="s">
        <v>78</v>
      </c>
      <c r="D75" s="68"/>
      <c r="E75" s="69" t="s">
        <v>79</v>
      </c>
      <c r="F75" s="70"/>
      <c r="G75" s="70"/>
    </row>
    <row r="76" spans="1:7" ht="24" x14ac:dyDescent="0.15">
      <c r="A76" s="42"/>
      <c r="B76" s="43"/>
      <c r="C76" s="44"/>
      <c r="D76" s="36"/>
      <c r="E76" s="117"/>
      <c r="F76" s="118" t="s">
        <v>166</v>
      </c>
      <c r="G76" s="31" t="s">
        <v>80</v>
      </c>
    </row>
    <row r="77" spans="1:7" ht="24" x14ac:dyDescent="0.15">
      <c r="A77" s="42"/>
      <c r="B77" s="43"/>
      <c r="C77" s="44"/>
      <c r="D77" s="36"/>
      <c r="E77" s="30"/>
      <c r="F77" s="31"/>
      <c r="G77" s="71" t="s">
        <v>167</v>
      </c>
    </row>
    <row r="78" spans="1:7" ht="17.25" customHeight="1" thickBot="1" x14ac:dyDescent="0.2">
      <c r="A78" s="27"/>
      <c r="B78" s="45"/>
      <c r="C78" s="44" t="s">
        <v>81</v>
      </c>
      <c r="D78" s="72"/>
      <c r="E78" s="73" t="s">
        <v>82</v>
      </c>
      <c r="F78" s="74"/>
      <c r="G78" s="31"/>
    </row>
    <row r="79" spans="1:7" ht="24" x14ac:dyDescent="0.15">
      <c r="A79" s="42"/>
      <c r="B79" s="43"/>
      <c r="C79" s="44"/>
      <c r="D79" s="75" t="s">
        <v>83</v>
      </c>
      <c r="E79" s="76" t="s">
        <v>123</v>
      </c>
      <c r="F79" s="77"/>
      <c r="G79" s="31"/>
    </row>
    <row r="80" spans="1:7" ht="17.25" customHeight="1" x14ac:dyDescent="0.15">
      <c r="A80" s="27">
        <f>A75+B75</f>
        <v>0.75486111111111098</v>
      </c>
      <c r="B80" s="45">
        <v>3.472222222222222E-3</v>
      </c>
      <c r="C80" s="78" t="s">
        <v>84</v>
      </c>
      <c r="D80" s="75" t="s">
        <v>83</v>
      </c>
      <c r="E80" s="48" t="s">
        <v>168</v>
      </c>
      <c r="F80" s="79"/>
      <c r="G80" s="31"/>
    </row>
    <row r="81" spans="1:7" ht="17.25" customHeight="1" thickBot="1" x14ac:dyDescent="0.2">
      <c r="A81" s="42"/>
      <c r="B81" s="43"/>
      <c r="C81" s="44"/>
      <c r="D81" s="75" t="s">
        <v>83</v>
      </c>
      <c r="E81" s="62" t="s">
        <v>85</v>
      </c>
      <c r="F81" s="80"/>
      <c r="G81" s="31"/>
    </row>
    <row r="82" spans="1:7" ht="36.75" thickBot="1" x14ac:dyDescent="0.2">
      <c r="A82" s="42"/>
      <c r="B82" s="43"/>
      <c r="C82" s="44"/>
      <c r="D82" s="51" t="s">
        <v>75</v>
      </c>
      <c r="E82" s="81" t="s">
        <v>169</v>
      </c>
      <c r="F82" s="77"/>
      <c r="G82" s="31"/>
    </row>
    <row r="83" spans="1:7" ht="24.75" thickBot="1" x14ac:dyDescent="0.2">
      <c r="A83" s="42"/>
      <c r="B83" s="43"/>
      <c r="C83" s="44"/>
      <c r="D83" s="82" t="s">
        <v>83</v>
      </c>
      <c r="E83" s="83" t="s">
        <v>170</v>
      </c>
      <c r="F83" s="84"/>
      <c r="G83" s="31"/>
    </row>
    <row r="84" spans="1:7" ht="24.75" thickBot="1" x14ac:dyDescent="0.2">
      <c r="A84" s="42"/>
      <c r="B84" s="43"/>
      <c r="C84" s="85"/>
      <c r="D84" s="72"/>
      <c r="E84" s="73" t="s">
        <v>171</v>
      </c>
      <c r="F84" s="74"/>
      <c r="G84" s="31"/>
    </row>
    <row r="85" spans="1:7" ht="48" x14ac:dyDescent="0.15">
      <c r="A85" s="42"/>
      <c r="B85" s="43"/>
      <c r="C85" s="44" t="s">
        <v>86</v>
      </c>
      <c r="D85" s="75" t="s">
        <v>83</v>
      </c>
      <c r="E85" s="76" t="s">
        <v>172</v>
      </c>
      <c r="F85" s="77"/>
      <c r="G85" s="31" t="s">
        <v>180</v>
      </c>
    </row>
    <row r="86" spans="1:7" ht="48.75" thickBot="1" x14ac:dyDescent="0.2">
      <c r="A86" s="42"/>
      <c r="B86" s="43"/>
      <c r="C86" s="86"/>
      <c r="D86" s="87" t="s">
        <v>83</v>
      </c>
      <c r="E86" s="88" t="s">
        <v>87</v>
      </c>
      <c r="F86" s="80"/>
      <c r="G86" s="89"/>
    </row>
    <row r="87" spans="1:7" x14ac:dyDescent="0.15">
      <c r="A87" s="42"/>
      <c r="B87" s="43"/>
      <c r="C87" s="86"/>
      <c r="D87" s="72"/>
      <c r="E87" s="90"/>
      <c r="F87" s="80"/>
      <c r="G87" s="89"/>
    </row>
    <row r="88" spans="1:7" ht="17.25" customHeight="1" x14ac:dyDescent="0.15">
      <c r="A88" s="27">
        <f>A80+B80</f>
        <v>0.75833333333333319</v>
      </c>
      <c r="B88" s="45">
        <v>3.472222222222222E-3</v>
      </c>
      <c r="C88" s="78" t="s">
        <v>88</v>
      </c>
      <c r="D88" s="91" t="s">
        <v>83</v>
      </c>
      <c r="E88" s="48" t="s">
        <v>173</v>
      </c>
      <c r="F88" s="79"/>
      <c r="G88" s="89"/>
    </row>
    <row r="89" spans="1:7" ht="17.25" customHeight="1" thickBot="1" x14ac:dyDescent="0.2">
      <c r="A89" s="92"/>
      <c r="B89" s="93"/>
      <c r="C89" s="44"/>
      <c r="D89" s="87" t="s">
        <v>83</v>
      </c>
      <c r="E89" s="62" t="s">
        <v>89</v>
      </c>
      <c r="F89" s="80"/>
      <c r="G89" s="89"/>
    </row>
    <row r="90" spans="1:7" ht="24.75" thickBot="1" x14ac:dyDescent="0.2">
      <c r="A90" s="42"/>
      <c r="B90" s="43"/>
      <c r="C90" s="44"/>
      <c r="D90" s="36" t="s">
        <v>75</v>
      </c>
      <c r="E90" s="73" t="s">
        <v>174</v>
      </c>
      <c r="F90" s="80"/>
      <c r="G90" s="31"/>
    </row>
    <row r="91" spans="1:7" ht="17.25" customHeight="1" thickBot="1" x14ac:dyDescent="0.2">
      <c r="A91" s="42"/>
      <c r="B91" s="43"/>
      <c r="C91" s="44"/>
      <c r="D91" s="94" t="s">
        <v>83</v>
      </c>
      <c r="E91" s="83" t="s">
        <v>175</v>
      </c>
      <c r="F91" s="84"/>
      <c r="G91" s="47"/>
    </row>
    <row r="92" spans="1:7" ht="17.25" customHeight="1" thickBot="1" x14ac:dyDescent="0.2">
      <c r="A92" s="42"/>
      <c r="B92" s="43"/>
      <c r="C92" s="44"/>
      <c r="D92" s="36" t="s">
        <v>90</v>
      </c>
      <c r="E92" s="95" t="s">
        <v>91</v>
      </c>
      <c r="F92" s="84"/>
      <c r="G92" s="47" t="s">
        <v>92</v>
      </c>
    </row>
    <row r="93" spans="1:7" ht="48" x14ac:dyDescent="0.15">
      <c r="A93" s="92"/>
      <c r="B93" s="93"/>
      <c r="C93" s="96" t="s">
        <v>86</v>
      </c>
      <c r="D93" s="94" t="s">
        <v>83</v>
      </c>
      <c r="E93" s="76" t="s">
        <v>176</v>
      </c>
      <c r="F93" s="77"/>
      <c r="G93" s="31" t="s">
        <v>180</v>
      </c>
    </row>
    <row r="94" spans="1:7" ht="48.75" thickBot="1" x14ac:dyDescent="0.2">
      <c r="A94" s="92"/>
      <c r="B94" s="93"/>
      <c r="C94" s="96"/>
      <c r="D94" s="94" t="s">
        <v>83</v>
      </c>
      <c r="E94" s="88" t="s">
        <v>87</v>
      </c>
      <c r="F94" s="80"/>
      <c r="G94" s="31"/>
    </row>
    <row r="95" spans="1:7" x14ac:dyDescent="0.15">
      <c r="A95" s="92"/>
      <c r="B95" s="93"/>
      <c r="C95" s="96"/>
      <c r="D95" s="36"/>
      <c r="E95" s="90"/>
      <c r="F95" s="80"/>
      <c r="G95" s="31"/>
    </row>
    <row r="96" spans="1:7" ht="24.75" thickBot="1" x14ac:dyDescent="0.2">
      <c r="A96" s="97">
        <f>A88+B88</f>
        <v>0.7618055555555554</v>
      </c>
      <c r="B96" s="98">
        <v>6.9444444444444447E-4</v>
      </c>
      <c r="C96" s="99"/>
      <c r="D96" s="100" t="s">
        <v>83</v>
      </c>
      <c r="E96" s="101" t="s">
        <v>93</v>
      </c>
      <c r="F96" s="102"/>
      <c r="G96" s="64" t="s">
        <v>94</v>
      </c>
    </row>
    <row r="97" spans="1:7" ht="24" x14ac:dyDescent="0.15">
      <c r="A97" s="103"/>
      <c r="B97" s="104"/>
      <c r="C97" s="37"/>
      <c r="D97" s="51"/>
      <c r="E97" s="81"/>
      <c r="F97" s="81" t="s">
        <v>95</v>
      </c>
      <c r="G97" s="105" t="s">
        <v>179</v>
      </c>
    </row>
    <row r="98" spans="1:7" ht="24" x14ac:dyDescent="0.15">
      <c r="A98" s="27">
        <f>A96+B96</f>
        <v>0.76249999999999984</v>
      </c>
      <c r="B98" s="45">
        <v>6.9444444444444447E-4</v>
      </c>
      <c r="C98" s="44" t="s">
        <v>96</v>
      </c>
      <c r="D98" s="36"/>
      <c r="E98" s="30" t="s">
        <v>97</v>
      </c>
      <c r="F98" s="31"/>
      <c r="G98" s="31"/>
    </row>
    <row r="99" spans="1:7" ht="17.25" customHeight="1" x14ac:dyDescent="0.15">
      <c r="A99" s="27">
        <f t="shared" ref="A99:A105" si="0">A98+B98</f>
        <v>0.76319444444444429</v>
      </c>
      <c r="B99" s="45">
        <v>6.9444444444444447E-4</v>
      </c>
      <c r="C99" s="44" t="s">
        <v>98</v>
      </c>
      <c r="D99" s="36"/>
      <c r="E99" s="30" t="s">
        <v>99</v>
      </c>
      <c r="F99" s="31"/>
      <c r="G99" s="31" t="s">
        <v>100</v>
      </c>
    </row>
    <row r="100" spans="1:7" ht="24" x14ac:dyDescent="0.15">
      <c r="A100" s="107">
        <f>A99+B99</f>
        <v>0.76388888888888873</v>
      </c>
      <c r="B100" s="45">
        <v>6.9444444444444447E-4</v>
      </c>
      <c r="C100" s="44" t="s">
        <v>101</v>
      </c>
      <c r="D100" s="36"/>
      <c r="E100" s="30" t="s">
        <v>177</v>
      </c>
      <c r="F100" s="31" t="s">
        <v>102</v>
      </c>
      <c r="G100" s="106" t="s">
        <v>178</v>
      </c>
    </row>
    <row r="101" spans="1:7" ht="17.25" customHeight="1" x14ac:dyDescent="0.15">
      <c r="A101" s="107"/>
      <c r="B101" s="45"/>
      <c r="C101" s="44"/>
      <c r="D101" s="36"/>
      <c r="E101" s="30" t="s">
        <v>181</v>
      </c>
      <c r="F101" s="31"/>
      <c r="G101" s="31" t="s">
        <v>103</v>
      </c>
    </row>
    <row r="102" spans="1:7" ht="17.25" customHeight="1" x14ac:dyDescent="0.15">
      <c r="A102" s="27">
        <f>A100+B100</f>
        <v>0.76458333333333317</v>
      </c>
      <c r="B102" s="45">
        <v>0</v>
      </c>
      <c r="C102" s="44"/>
      <c r="D102" s="36"/>
      <c r="E102" s="108"/>
      <c r="F102" s="109"/>
      <c r="G102" s="31"/>
    </row>
    <row r="103" spans="1:7" ht="17.25" customHeight="1" x14ac:dyDescent="0.15">
      <c r="A103" s="27">
        <f t="shared" si="0"/>
        <v>0.76458333333333317</v>
      </c>
      <c r="B103" s="45">
        <v>1.3888888888888889E-3</v>
      </c>
      <c r="C103" s="44" t="s">
        <v>104</v>
      </c>
      <c r="D103" s="36"/>
      <c r="E103" s="108" t="s">
        <v>124</v>
      </c>
      <c r="F103" s="109"/>
      <c r="G103" s="31"/>
    </row>
    <row r="104" spans="1:7" ht="17.25" customHeight="1" x14ac:dyDescent="0.15">
      <c r="A104" s="27">
        <f t="shared" si="0"/>
        <v>0.76597222222222205</v>
      </c>
      <c r="B104" s="45">
        <v>6.9444444444444447E-4</v>
      </c>
      <c r="C104" s="44" t="s">
        <v>105</v>
      </c>
      <c r="D104" s="36"/>
      <c r="E104" s="30" t="s">
        <v>182</v>
      </c>
      <c r="F104" s="31"/>
      <c r="G104" s="89"/>
    </row>
    <row r="105" spans="1:7" ht="17.25" customHeight="1" thickBot="1" x14ac:dyDescent="0.2">
      <c r="A105" s="97">
        <f t="shared" si="0"/>
        <v>0.7666666666666665</v>
      </c>
      <c r="B105" s="98"/>
      <c r="C105" s="99" t="s">
        <v>106</v>
      </c>
      <c r="D105" s="61"/>
      <c r="E105" s="110" t="s">
        <v>107</v>
      </c>
      <c r="F105" s="64"/>
      <c r="G105" s="119"/>
    </row>
    <row r="106" spans="1:7" ht="17.25" customHeight="1" x14ac:dyDescent="0.15"/>
    <row r="107" spans="1:7" ht="17.25" customHeight="1" x14ac:dyDescent="0.15"/>
    <row r="108" spans="1:7" ht="17.25" customHeight="1" x14ac:dyDescent="0.15">
      <c r="E108" s="1" t="s">
        <v>108</v>
      </c>
    </row>
    <row r="109" spans="1:7" ht="17.25" customHeight="1" x14ac:dyDescent="0.15"/>
    <row r="110" spans="1:7" ht="17.25" customHeight="1" x14ac:dyDescent="0.15"/>
    <row r="111" spans="1:7" ht="17.25" customHeight="1" x14ac:dyDescent="0.15"/>
    <row r="112" spans="1:7" ht="17.25" customHeight="1" x14ac:dyDescent="0.15"/>
    <row r="113" spans="3:6" ht="13.5" x14ac:dyDescent="0.15">
      <c r="C113" s="111"/>
      <c r="D113" s="112"/>
      <c r="E113" s="111"/>
      <c r="F113" s="111"/>
    </row>
    <row r="114" spans="3:6" ht="13.5" x14ac:dyDescent="0.15">
      <c r="C114" s="111"/>
      <c r="D114" s="112"/>
      <c r="E114" s="111"/>
      <c r="F114" s="111"/>
    </row>
  </sheetData>
  <mergeCells count="15">
    <mergeCell ref="A56:A59"/>
    <mergeCell ref="B56:B59"/>
    <mergeCell ref="C56:C59"/>
    <mergeCell ref="A1:G1"/>
    <mergeCell ref="A3:G3"/>
    <mergeCell ref="C27:E27"/>
    <mergeCell ref="C28:D28"/>
    <mergeCell ref="C29:D29"/>
    <mergeCell ref="C30:D30"/>
    <mergeCell ref="G56:G59"/>
    <mergeCell ref="C31:D31"/>
    <mergeCell ref="C32:D32"/>
    <mergeCell ref="C33:D33"/>
    <mergeCell ref="C34:D34"/>
    <mergeCell ref="C35:D35"/>
  </mergeCells>
  <phoneticPr fontId="3"/>
  <printOptions horizontalCentered="1"/>
  <pageMargins left="0.59055118110236227" right="0.59055118110236227" top="0.82677165354330717" bottom="0.19685039370078741" header="0.55118110236220474" footer="0"/>
  <pageSetup paperSize="9" scale="65" orientation="landscape" verticalDpi="400" r:id="rId1"/>
  <headerFooter alignWithMargins="0">
    <oddHeader xml:space="preserve">&amp;C&amp;16&amp;K000000 </oddHeader>
  </headerFooter>
  <rowBreaks count="2" manualBreakCount="2">
    <brk id="44" max="6" man="1"/>
    <brk id="7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20201月総会</vt:lpstr>
      <vt:lpstr>'20201月総会'!Print_Area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高橋　佑輔</cp:lastModifiedBy>
  <cp:lastPrinted>2020-01-20T00:51:46Z</cp:lastPrinted>
  <dcterms:created xsi:type="dcterms:W3CDTF">2019-12-06T09:22:47Z</dcterms:created>
  <dcterms:modified xsi:type="dcterms:W3CDTF">2020-11-28T17:30:07Z</dcterms:modified>
</cp:coreProperties>
</file>