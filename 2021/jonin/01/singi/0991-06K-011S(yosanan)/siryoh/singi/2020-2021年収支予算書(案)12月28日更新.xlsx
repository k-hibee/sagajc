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松並陽一\Dropbox\2021アジェンダ\常任\01\singi\0991-06K-011S(yosanan)\siryoh\singi\"/>
    </mc:Choice>
  </mc:AlternateContent>
  <xr:revisionPtr revIDLastSave="0" documentId="13_ncr:1_{B80B75F2-BDC1-4276-8AAA-ACB6A8DCB6F5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3" i="4" l="1"/>
  <c r="K94" i="4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<sst xmlns="http://schemas.openxmlformats.org/spreadsheetml/2006/main" count="488" uniqueCount="182">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</sst>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177" fontId="6" fillId="0" borderId="12" xfId="1" applyNumberFormat="1" applyFont="1" applyFill="1" applyBorder="1" applyAlignment="1">
      <alignment vertical="center" shrinkToFit="1"/>
    </xf>
    <xf numFmtId="177" fontId="9" fillId="0" borderId="9" xfId="1" applyNumberFormat="1" applyFont="1" applyFill="1" applyBorder="1" applyAlignment="1">
      <alignment vertical="center" shrinkToFit="1"/>
    </xf>
    <xf numFmtId="177" fontId="17" fillId="0" borderId="9" xfId="1" applyNumberFormat="1" applyFont="1" applyFill="1" applyBorder="1" applyAlignment="1">
      <alignment vertical="center"/>
    </xf>
    <xf numFmtId="176" fontId="7" fillId="0" borderId="0" xfId="0" applyNumberFormat="1" applyFont="1" applyFill="1" applyBorder="1"/>
    <xf numFmtId="177" fontId="9" fillId="0" borderId="2" xfId="1" applyNumberFormat="1" applyFont="1" applyFill="1" applyBorder="1" applyAlignment="1">
      <alignment horizontal="center" vertical="center" shrinkToFit="1"/>
    </xf>
    <xf numFmtId="177" fontId="17" fillId="0" borderId="3" xfId="1" applyNumberFormat="1" applyFont="1" applyFill="1" applyBorder="1" applyAlignment="1">
      <alignment horizontal="center" vertical="center" wrapText="1" shrinkToFit="1"/>
    </xf>
    <xf numFmtId="177" fontId="9" fillId="0" borderId="3" xfId="1" applyNumberFormat="1" applyFont="1" applyFill="1" applyBorder="1" applyAlignment="1">
      <alignment horizontal="center" vertical="center" wrapText="1" shrinkToFit="1"/>
    </xf>
    <xf numFmtId="0" fontId="7" fillId="0" borderId="0" xfId="0" applyFont="1" applyFill="1"/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  <xf numFmtId="38" fontId="16" fillId="0" borderId="8" xfId="1" applyFont="1" applyFill="1" applyBorder="1" applyAlignment="1">
      <alignment vertical="center"/>
    </xf>
    <xf numFmtId="38" fontId="16" fillId="0" borderId="11" xfId="1" applyFont="1" applyFill="1" applyBorder="1" applyAlignment="1">
      <alignment vertical="center"/>
    </xf>
    <xf numFmtId="38" fontId="16" fillId="0" borderId="15" xfId="1" applyFont="1" applyFill="1" applyBorder="1" applyAlignment="1">
      <alignment vertical="center"/>
    </xf>
    <xf numFmtId="38" fontId="16" fillId="0" borderId="9" xfId="1" applyFon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4" t="s">
        <v>126</v>
      </c>
      <c r="B1" s="164"/>
      <c r="C1" s="164"/>
      <c r="D1" s="164"/>
      <c r="E1" s="164"/>
      <c r="F1" s="164"/>
      <c r="G1" s="164"/>
      <c r="H1" s="164"/>
      <c r="I1" s="164"/>
    </row>
    <row r="2" spans="1:9" ht="9.65" customHeight="1" x14ac:dyDescent="0.2">
      <c r="A2" s="165"/>
      <c r="B2" s="165"/>
      <c r="C2" s="165"/>
      <c r="D2" s="165"/>
      <c r="E2" s="165"/>
      <c r="F2" s="165"/>
      <c r="G2" s="165"/>
      <c r="H2" s="165"/>
      <c r="I2" s="165"/>
    </row>
    <row r="3" spans="1:9" ht="13.9" customHeight="1" thickBot="1" x14ac:dyDescent="0.3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2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2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2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2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2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2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2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2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2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2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2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2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2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2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2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2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2">
      <c r="A24" s="166" t="s">
        <v>30</v>
      </c>
      <c r="B24" s="167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2">
      <c r="A25" s="168" t="s">
        <v>31</v>
      </c>
      <c r="B25" s="167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5">
      <c r="A26" s="168" t="s">
        <v>33</v>
      </c>
      <c r="B26" s="167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2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3.5" thickBot="1" x14ac:dyDescent="0.25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2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2">
      <c r="A30" s="161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2">
      <c r="A31" s="162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2">
      <c r="A32" s="162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2">
      <c r="A33" s="162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2">
      <c r="A34" s="162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2">
      <c r="A35" s="162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2">
      <c r="A36" s="162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2">
      <c r="A37" s="162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2">
      <c r="A38" s="162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2">
      <c r="A39" s="162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2">
      <c r="A40" s="162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2">
      <c r="A41" s="163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2">
      <c r="A42" s="161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2">
      <c r="A43" s="162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2">
      <c r="A44" s="162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2">
      <c r="A45" s="162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2">
      <c r="A46" s="162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2">
      <c r="A47" s="162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2">
      <c r="A48" s="162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2">
      <c r="A49" s="162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2">
      <c r="A50" s="162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2">
      <c r="A51" s="162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2">
      <c r="A52" s="162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2">
      <c r="A53" s="163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2">
      <c r="A54" s="161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2">
      <c r="A55" s="162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2">
      <c r="A56" s="162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2">
      <c r="A57" s="163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2">
      <c r="A58" s="169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2">
      <c r="A59" s="170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2">
      <c r="A60" s="169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2">
      <c r="A61" s="170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2">
      <c r="A62" s="161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2">
      <c r="A63" s="162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2">
      <c r="A64" s="163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2">
      <c r="A65" s="161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2">
      <c r="A66" s="162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2">
      <c r="A67" s="162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2">
      <c r="A68" s="162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2">
      <c r="A69" s="162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2">
      <c r="A70" s="163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2">
      <c r="A71" s="171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2">
      <c r="A72" s="172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2">
      <c r="A73" s="172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2">
      <c r="A74" s="172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2">
      <c r="A75" s="172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2">
      <c r="A76" s="172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2">
      <c r="A77" s="172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2">
      <c r="A78" s="172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2">
      <c r="A79" s="163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2">
      <c r="A80" s="161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2">
      <c r="A81" s="162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2">
      <c r="A82" s="162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2">
      <c r="A83" s="162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2">
      <c r="A84" s="163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2">
      <c r="A85" s="161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2">
      <c r="A86" s="163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2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2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2">
      <c r="A89" s="168" t="s">
        <v>107</v>
      </c>
      <c r="B89" s="167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2">
      <c r="A90" s="168" t="s">
        <v>108</v>
      </c>
      <c r="B90" s="167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5">
      <c r="A91" s="168" t="s">
        <v>109</v>
      </c>
      <c r="B91" s="167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71:A79"/>
    <mergeCell ref="A80:A84"/>
    <mergeCell ref="A89:B89"/>
    <mergeCell ref="A90:B90"/>
    <mergeCell ref="A91:B91"/>
    <mergeCell ref="A85:A86"/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zoomScale="86" zoomScaleNormal="86" workbookViewId="0">
      <selection activeCell="L29" sqref="K29:L29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4" t="s">
        <v>151</v>
      </c>
      <c r="B1" s="164"/>
      <c r="C1" s="164"/>
      <c r="D1" s="164"/>
      <c r="E1" s="164"/>
      <c r="F1" s="164"/>
      <c r="G1" s="164"/>
      <c r="H1" s="164"/>
      <c r="I1" s="164"/>
    </row>
    <row r="2" spans="1:9" ht="9.65" customHeight="1" x14ac:dyDescent="0.2">
      <c r="A2" s="165"/>
      <c r="B2" s="165"/>
      <c r="C2" s="165"/>
      <c r="D2" s="165"/>
      <c r="E2" s="165"/>
      <c r="F2" s="165"/>
      <c r="G2" s="165"/>
      <c r="H2" s="165"/>
      <c r="I2" s="165"/>
    </row>
    <row r="3" spans="1:9" ht="13.9" customHeight="1" x14ac:dyDescent="0.3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2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2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2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2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2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2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2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2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2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2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2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2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2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2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2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2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2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2">
      <c r="A25" s="166" t="s">
        <v>30</v>
      </c>
      <c r="B25" s="173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2">
      <c r="A26" s="168" t="s">
        <v>31</v>
      </c>
      <c r="B26" s="173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2">
      <c r="A27" s="168" t="s">
        <v>33</v>
      </c>
      <c r="B27" s="173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2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2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2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2">
      <c r="A31" s="161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2">
      <c r="A32" s="162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2">
      <c r="A33" s="162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2">
      <c r="A34" s="162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2">
      <c r="A35" s="162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2">
      <c r="A36" s="162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2">
      <c r="A37" s="162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2">
      <c r="A38" s="162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2">
      <c r="A39" s="162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2">
      <c r="A40" s="162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2">
      <c r="A41" s="162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2">
      <c r="A42" s="163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2">
      <c r="A43" s="161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2">
      <c r="A44" s="162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2">
      <c r="A45" s="162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2">
      <c r="A46" s="162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2">
      <c r="A47" s="162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2">
      <c r="A48" s="162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2">
      <c r="A49" s="162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2">
      <c r="A50" s="162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2">
      <c r="A51" s="162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2">
      <c r="A52" s="162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2">
      <c r="A53" s="162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2">
      <c r="A54" s="163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2">
      <c r="A55" s="161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2">
      <c r="A56" s="162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2">
      <c r="A57" s="162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2">
      <c r="A58" s="163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2">
      <c r="A59" s="169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2">
      <c r="A60" s="170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2">
      <c r="A61" s="169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2">
      <c r="A62" s="170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2">
      <c r="A63" s="161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2">
      <c r="A64" s="162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2">
      <c r="A65" s="163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2">
      <c r="A66" s="161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2">
      <c r="A67" s="162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2">
      <c r="A68" s="162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2">
      <c r="A69" s="162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2">
      <c r="A70" s="162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2">
      <c r="A71" s="163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2">
      <c r="A72" s="171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2">
      <c r="A73" s="172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2">
      <c r="A74" s="172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2">
      <c r="A75" s="172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2">
      <c r="A76" s="172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2">
      <c r="A77" s="172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2">
      <c r="A78" s="172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2">
      <c r="A79" s="172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2">
      <c r="A80" s="163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2">
      <c r="A81" s="161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2">
      <c r="A82" s="162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2">
      <c r="A83" s="162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2">
      <c r="A84" s="162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2">
      <c r="A85" s="163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2">
      <c r="A86" s="161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2">
      <c r="A87" s="163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2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2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2">
      <c r="A90" s="168" t="s">
        <v>107</v>
      </c>
      <c r="B90" s="167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2">
      <c r="A91" s="168" t="s">
        <v>108</v>
      </c>
      <c r="B91" s="167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2">
      <c r="A92" s="168" t="s">
        <v>109</v>
      </c>
      <c r="B92" s="167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  <mergeCell ref="A31:A42"/>
    <mergeCell ref="A1:I1"/>
    <mergeCell ref="A2:I2"/>
    <mergeCell ref="A25:B25"/>
    <mergeCell ref="A26:B26"/>
    <mergeCell ref="A27:B2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4"/>
  <sheetViews>
    <sheetView tabSelected="1" topLeftCell="A82" zoomScale="96" zoomScaleNormal="86" workbookViewId="0">
      <selection activeCell="L92" sqref="L92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8.7265625" style="1" customWidth="1"/>
    <col min="10" max="10" width="5.7265625" style="160" customWidth="1"/>
    <col min="11" max="11" width="12.7265625" style="160" customWidth="1"/>
    <col min="12" max="12" width="43.90625" style="1" customWidth="1"/>
    <col min="13" max="16384" width="9" style="1"/>
  </cols>
  <sheetData>
    <row r="1" spans="1:12" ht="16.5" x14ac:dyDescent="0.25">
      <c r="A1" s="164" t="s">
        <v>151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9.65" customHeight="1" x14ac:dyDescent="0.2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 ht="13.9" customHeight="1" x14ac:dyDescent="0.3">
      <c r="A3" s="2" t="s">
        <v>0</v>
      </c>
      <c r="B3" s="3"/>
      <c r="C3" s="3"/>
      <c r="D3" s="3"/>
      <c r="E3" s="3"/>
      <c r="F3" s="2"/>
      <c r="G3" s="2"/>
      <c r="H3" s="2"/>
      <c r="I3" s="2"/>
      <c r="J3" s="156"/>
      <c r="K3" s="156"/>
      <c r="L3" s="4" t="s">
        <v>1</v>
      </c>
    </row>
    <row r="4" spans="1:12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157" t="s">
        <v>5</v>
      </c>
      <c r="K4" s="158" t="s">
        <v>153</v>
      </c>
      <c r="L4" s="10" t="s">
        <v>6</v>
      </c>
    </row>
    <row r="5" spans="1:12" s="11" customFormat="1" ht="13.9" customHeight="1" x14ac:dyDescent="0.2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2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78">
        <v>91</v>
      </c>
      <c r="K6" s="179">
        <f>I6*J6</f>
        <v>10920000</v>
      </c>
      <c r="L6" s="17"/>
    </row>
    <row r="7" spans="1:12" s="11" customFormat="1" ht="13.9" customHeight="1" x14ac:dyDescent="0.2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2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2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2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2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2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2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19"/>
      <c r="L13" s="78" t="s">
        <v>17</v>
      </c>
    </row>
    <row r="14" spans="1:12" s="11" customFormat="1" ht="13.9" customHeight="1" x14ac:dyDescent="0.2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2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2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2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2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2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2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2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2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2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2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2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>
        <v>500000</v>
      </c>
      <c r="L25" s="17" t="s">
        <v>179</v>
      </c>
    </row>
    <row r="26" spans="1:12" s="11" customFormat="1" ht="16.899999999999999" customHeight="1" x14ac:dyDescent="0.2">
      <c r="A26" s="166" t="s">
        <v>30</v>
      </c>
      <c r="B26" s="167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12836000</v>
      </c>
      <c r="L26" s="17"/>
    </row>
    <row r="27" spans="1:12" s="11" customFormat="1" ht="16.899999999999999" customHeight="1" x14ac:dyDescent="0.2">
      <c r="A27" s="168" t="s">
        <v>31</v>
      </c>
      <c r="B27" s="167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60">
        <v>1500000</v>
      </c>
      <c r="L27" s="155" t="s">
        <v>163</v>
      </c>
    </row>
    <row r="28" spans="1:12" s="11" customFormat="1" ht="16.899999999999999" customHeight="1" x14ac:dyDescent="0.2">
      <c r="A28" s="168" t="s">
        <v>33</v>
      </c>
      <c r="B28" s="167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14336000</v>
      </c>
      <c r="L28" s="45"/>
    </row>
    <row r="29" spans="1:12" s="11" customFormat="1" x14ac:dyDescent="0.2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2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2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157" t="s">
        <v>5</v>
      </c>
      <c r="K31" s="15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2">
      <c r="A32" s="161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1573</v>
      </c>
      <c r="J32" s="180">
        <v>91</v>
      </c>
      <c r="K32" s="179">
        <f>I32*J32</f>
        <v>143143</v>
      </c>
      <c r="L32" s="17" t="s">
        <v>178</v>
      </c>
    </row>
    <row r="33" spans="1:12" s="11" customFormat="1" ht="13.9" customHeight="1" x14ac:dyDescent="0.2">
      <c r="A33" s="162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181"/>
      <c r="K33" s="179">
        <v>60000</v>
      </c>
      <c r="L33" s="17" t="s">
        <v>150</v>
      </c>
    </row>
    <row r="34" spans="1:12" s="11" customFormat="1" ht="13.9" customHeight="1" x14ac:dyDescent="0.2">
      <c r="A34" s="162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181">
        <v>91</v>
      </c>
      <c r="K34" s="179">
        <f>I34*J34</f>
        <v>455000</v>
      </c>
      <c r="L34" s="17"/>
    </row>
    <row r="35" spans="1:12" s="11" customFormat="1" ht="13.9" customHeight="1" x14ac:dyDescent="0.2">
      <c r="A35" s="162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181">
        <v>91</v>
      </c>
      <c r="K35" s="179">
        <f t="shared" ref="K35:K40" si="0">I35*J35</f>
        <v>166075</v>
      </c>
      <c r="L35" s="17"/>
    </row>
    <row r="36" spans="1:12" s="11" customFormat="1" ht="13.9" customHeight="1" x14ac:dyDescent="0.2">
      <c r="A36" s="162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181">
        <v>91</v>
      </c>
      <c r="K36" s="179">
        <f t="shared" si="0"/>
        <v>273000</v>
      </c>
      <c r="L36" s="17"/>
    </row>
    <row r="37" spans="1:12" s="11" customFormat="1" ht="13.9" customHeight="1" x14ac:dyDescent="0.2">
      <c r="A37" s="162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181">
        <v>91</v>
      </c>
      <c r="K37" s="179">
        <f t="shared" si="0"/>
        <v>364000</v>
      </c>
      <c r="L37" s="20" t="s">
        <v>42</v>
      </c>
    </row>
    <row r="38" spans="1:12" s="11" customFormat="1" ht="13.9" customHeight="1" x14ac:dyDescent="0.2">
      <c r="A38" s="162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181"/>
      <c r="K38" s="179">
        <v>30000</v>
      </c>
      <c r="L38" s="17"/>
    </row>
    <row r="39" spans="1:12" s="11" customFormat="1" ht="13.9" customHeight="1" x14ac:dyDescent="0.2">
      <c r="A39" s="162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181">
        <v>91</v>
      </c>
      <c r="K39" s="179">
        <f t="shared" si="0"/>
        <v>318500</v>
      </c>
      <c r="L39" s="17"/>
    </row>
    <row r="40" spans="1:12" s="11" customFormat="1" ht="13.9" customHeight="1" x14ac:dyDescent="0.2">
      <c r="A40" s="162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2">
      <c r="A41" s="162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2">
      <c r="A42" s="162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2">
      <c r="A43" s="163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2009718</v>
      </c>
      <c r="L43" s="17"/>
    </row>
    <row r="44" spans="1:12" s="11" customFormat="1" ht="13.9" customHeight="1" x14ac:dyDescent="0.2">
      <c r="A44" s="161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1" customFormat="1" ht="13.9" customHeight="1" x14ac:dyDescent="0.2">
      <c r="A45" s="162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2">
      <c r="A46" s="162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19">
        <v>500000</v>
      </c>
      <c r="L46" s="17" t="s">
        <v>140</v>
      </c>
    </row>
    <row r="47" spans="1:12" s="11" customFormat="1" ht="13.9" customHeight="1" x14ac:dyDescent="0.2">
      <c r="A47" s="162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19">
        <v>112560</v>
      </c>
      <c r="L47" s="17" t="s">
        <v>54</v>
      </c>
    </row>
    <row r="48" spans="1:12" s="11" customFormat="1" ht="13.9" customHeight="1" x14ac:dyDescent="0.2">
      <c r="A48" s="162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2">
      <c r="A49" s="162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19">
        <v>450000</v>
      </c>
      <c r="L49" s="20" t="s">
        <v>57</v>
      </c>
    </row>
    <row r="50" spans="1:12" s="11" customFormat="1" ht="13.9" customHeight="1" x14ac:dyDescent="0.2">
      <c r="A50" s="162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2">
      <c r="A51" s="162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2">
      <c r="A52" s="162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9">
        <v>144650</v>
      </c>
      <c r="L52" s="17" t="s">
        <v>61</v>
      </c>
    </row>
    <row r="53" spans="1:12" s="11" customFormat="1" ht="13.9" customHeight="1" x14ac:dyDescent="0.2">
      <c r="A53" s="162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2">
      <c r="A54" s="162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2">
      <c r="A55" s="163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5303210</v>
      </c>
      <c r="L55" s="17"/>
    </row>
    <row r="56" spans="1:12" s="11" customFormat="1" ht="13.9" customHeight="1" x14ac:dyDescent="0.2">
      <c r="A56" s="161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2">
      <c r="A57" s="162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2">
      <c r="A58" s="162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2">
      <c r="A59" s="163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2">
      <c r="A60" s="169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2">
      <c r="A61" s="170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v>100000</v>
      </c>
      <c r="L61" s="17" t="s">
        <v>119</v>
      </c>
    </row>
    <row r="62" spans="1:12" s="11" customFormat="1" ht="13.9" customHeight="1" x14ac:dyDescent="0.2">
      <c r="A62" s="169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2">
      <c r="A63" s="170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2">
      <c r="A64" s="161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2">
      <c r="A65" s="162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9">
        <v>550000</v>
      </c>
      <c r="L65" s="154" t="s">
        <v>181</v>
      </c>
    </row>
    <row r="66" spans="1:12" s="11" customFormat="1" ht="16.899999999999999" customHeight="1" x14ac:dyDescent="0.2">
      <c r="A66" s="163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17"/>
    </row>
    <row r="67" spans="1:12" s="11" customFormat="1" ht="13.9" customHeight="1" x14ac:dyDescent="0.2">
      <c r="A67" s="161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9">
        <v>250000</v>
      </c>
      <c r="L67" s="17" t="s">
        <v>85</v>
      </c>
    </row>
    <row r="68" spans="1:12" s="11" customFormat="1" ht="13.9" customHeight="1" x14ac:dyDescent="0.2">
      <c r="A68" s="162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2">
      <c r="A69" s="162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2">
      <c r="A70" s="162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2">
      <c r="A71" s="162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19">
        <v>8000</v>
      </c>
      <c r="L71" s="17" t="s">
        <v>121</v>
      </c>
    </row>
    <row r="72" spans="1:12" s="11" customFormat="1" ht="16.899999999999999" customHeight="1" x14ac:dyDescent="0.2">
      <c r="A72" s="163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668000</v>
      </c>
      <c r="L72" s="17"/>
    </row>
    <row r="73" spans="1:12" s="11" customFormat="1" ht="13.9" customHeight="1" x14ac:dyDescent="0.2">
      <c r="A73" s="171" t="s">
        <v>92</v>
      </c>
      <c r="B73" s="17" t="s">
        <v>93</v>
      </c>
      <c r="C73" s="128"/>
      <c r="D73" s="128"/>
      <c r="E73" s="128">
        <v>0</v>
      </c>
      <c r="F73" s="176" t="s">
        <v>168</v>
      </c>
      <c r="G73" s="177"/>
      <c r="H73" s="19">
        <v>0</v>
      </c>
      <c r="I73" s="36"/>
      <c r="J73" s="57"/>
      <c r="K73" s="19">
        <v>0</v>
      </c>
      <c r="L73" s="17" t="s">
        <v>93</v>
      </c>
    </row>
    <row r="74" spans="1:12" s="11" customFormat="1" ht="13.9" customHeight="1" x14ac:dyDescent="0.2">
      <c r="A74" s="172"/>
      <c r="B74" s="20" t="s">
        <v>127</v>
      </c>
      <c r="C74" s="146"/>
      <c r="D74" s="146"/>
      <c r="E74" s="146">
        <v>4155000</v>
      </c>
      <c r="F74" s="174" t="s">
        <v>169</v>
      </c>
      <c r="G74" s="175"/>
      <c r="H74" s="19">
        <v>150000</v>
      </c>
      <c r="I74" s="34"/>
      <c r="J74" s="57"/>
      <c r="K74" s="19">
        <v>700000</v>
      </c>
      <c r="L74" s="20" t="s">
        <v>174</v>
      </c>
    </row>
    <row r="75" spans="1:12" s="11" customFormat="1" ht="13.9" customHeight="1" x14ac:dyDescent="0.2">
      <c r="A75" s="172"/>
      <c r="B75" s="17" t="s">
        <v>113</v>
      </c>
      <c r="C75" s="128"/>
      <c r="D75" s="128"/>
      <c r="E75" s="128">
        <v>296000</v>
      </c>
      <c r="F75" s="174" t="s">
        <v>170</v>
      </c>
      <c r="G75" s="175"/>
      <c r="H75" s="19">
        <v>110000</v>
      </c>
      <c r="I75" s="34"/>
      <c r="J75" s="57"/>
      <c r="K75" s="19">
        <v>300000</v>
      </c>
      <c r="L75" s="17" t="s">
        <v>177</v>
      </c>
    </row>
    <row r="76" spans="1:12" s="11" customFormat="1" ht="13.9" customHeight="1" x14ac:dyDescent="0.2">
      <c r="A76" s="172"/>
      <c r="B76" s="17" t="s">
        <v>94</v>
      </c>
      <c r="C76" s="128"/>
      <c r="D76" s="128"/>
      <c r="E76" s="128">
        <v>1946000</v>
      </c>
      <c r="F76" s="174" t="s">
        <v>171</v>
      </c>
      <c r="G76" s="175"/>
      <c r="H76" s="19">
        <v>550000</v>
      </c>
      <c r="I76" s="34"/>
      <c r="J76" s="57"/>
      <c r="K76" s="19">
        <v>300000</v>
      </c>
      <c r="L76" s="17" t="s">
        <v>143</v>
      </c>
    </row>
    <row r="77" spans="1:12" s="11" customFormat="1" ht="13.9" customHeight="1" x14ac:dyDescent="0.2">
      <c r="A77" s="172"/>
      <c r="B77" s="17" t="s">
        <v>114</v>
      </c>
      <c r="C77" s="128"/>
      <c r="D77" s="128"/>
      <c r="E77" s="128">
        <v>280000</v>
      </c>
      <c r="F77" s="174" t="s">
        <v>172</v>
      </c>
      <c r="G77" s="175"/>
      <c r="H77" s="19">
        <v>305000</v>
      </c>
      <c r="I77" s="34"/>
      <c r="J77" s="57"/>
      <c r="K77" s="19">
        <v>400000</v>
      </c>
      <c r="L77" s="17" t="s">
        <v>175</v>
      </c>
    </row>
    <row r="78" spans="1:12" s="11" customFormat="1" ht="13.9" customHeight="1" x14ac:dyDescent="0.2">
      <c r="A78" s="172"/>
      <c r="B78" s="17" t="s">
        <v>115</v>
      </c>
      <c r="C78" s="128"/>
      <c r="D78" s="128"/>
      <c r="E78" s="128">
        <v>152000</v>
      </c>
      <c r="F78" s="174" t="s">
        <v>173</v>
      </c>
      <c r="G78" s="175"/>
      <c r="H78" s="19">
        <v>100000</v>
      </c>
      <c r="I78" s="34"/>
      <c r="J78" s="57"/>
      <c r="K78" s="19">
        <v>150000</v>
      </c>
      <c r="L78" s="17" t="s">
        <v>176</v>
      </c>
    </row>
    <row r="79" spans="1:12" s="11" customFormat="1" ht="13.9" customHeight="1" x14ac:dyDescent="0.2">
      <c r="A79" s="172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9"/>
      <c r="L79" s="20"/>
    </row>
    <row r="80" spans="1:12" s="11" customFormat="1" ht="13.9" customHeight="1" x14ac:dyDescent="0.2">
      <c r="A80" s="172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9"/>
      <c r="L80" s="20"/>
    </row>
    <row r="81" spans="1:12" s="11" customFormat="1" ht="13.9" customHeight="1" x14ac:dyDescent="0.2">
      <c r="A81" s="162"/>
      <c r="B81" s="153"/>
      <c r="C81" s="146"/>
      <c r="D81" s="146"/>
      <c r="E81" s="146"/>
      <c r="F81" s="151"/>
      <c r="G81" s="25"/>
      <c r="H81" s="56"/>
      <c r="I81" s="34"/>
      <c r="J81" s="57"/>
      <c r="K81" s="19">
        <v>500000</v>
      </c>
      <c r="L81" s="20" t="s">
        <v>180</v>
      </c>
    </row>
    <row r="82" spans="1:12" s="11" customFormat="1" ht="16.899999999999999" customHeight="1" x14ac:dyDescent="0.2">
      <c r="A82" s="163"/>
      <c r="B82" s="73" t="s">
        <v>95</v>
      </c>
      <c r="C82" s="141"/>
      <c r="D82" s="141"/>
      <c r="E82" s="141">
        <f>SUM(E73:E80)</f>
        <v>7674500</v>
      </c>
      <c r="F82" s="59"/>
      <c r="G82" s="39"/>
      <c r="H82" s="60">
        <f>SUM(H73:H80)</f>
        <v>1215000</v>
      </c>
      <c r="I82" s="40"/>
      <c r="J82" s="38"/>
      <c r="K82" s="61">
        <f>SUM(K73:K81)</f>
        <v>2350000</v>
      </c>
      <c r="L82" s="17"/>
    </row>
    <row r="83" spans="1:12" s="11" customFormat="1" ht="13.9" customHeight="1" x14ac:dyDescent="0.2">
      <c r="A83" s="161" t="s">
        <v>96</v>
      </c>
      <c r="B83" s="62" t="s">
        <v>97</v>
      </c>
      <c r="C83" s="127">
        <v>3000</v>
      </c>
      <c r="D83" s="127">
        <v>94</v>
      </c>
      <c r="E83" s="127">
        <v>282000</v>
      </c>
      <c r="F83" s="16"/>
      <c r="G83" s="25"/>
      <c r="H83" s="56">
        <v>0</v>
      </c>
      <c r="I83" s="34">
        <v>3000</v>
      </c>
      <c r="J83" s="181">
        <v>91</v>
      </c>
      <c r="K83" s="19">
        <f>I83*J83</f>
        <v>273000</v>
      </c>
      <c r="L83" s="17"/>
    </row>
    <row r="84" spans="1:12" s="11" customFormat="1" ht="13.9" customHeight="1" x14ac:dyDescent="0.2">
      <c r="A84" s="162"/>
      <c r="B84" s="62" t="s">
        <v>98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/>
    </row>
    <row r="85" spans="1:12" s="11" customFormat="1" ht="13.9" customHeight="1" x14ac:dyDescent="0.2">
      <c r="A85" s="162"/>
      <c r="B85" s="62" t="s">
        <v>99</v>
      </c>
      <c r="C85" s="127"/>
      <c r="D85" s="127"/>
      <c r="E85" s="127">
        <v>0</v>
      </c>
      <c r="F85" s="16"/>
      <c r="G85" s="25"/>
      <c r="H85" s="56">
        <v>0</v>
      </c>
      <c r="I85" s="34"/>
      <c r="J85" s="57"/>
      <c r="K85" s="19">
        <v>0</v>
      </c>
      <c r="L85" s="17" t="s">
        <v>100</v>
      </c>
    </row>
    <row r="86" spans="1:12" s="11" customFormat="1" ht="13.9" customHeight="1" x14ac:dyDescent="0.2">
      <c r="A86" s="162"/>
      <c r="B86" s="62" t="s">
        <v>101</v>
      </c>
      <c r="C86" s="127"/>
      <c r="D86" s="127"/>
      <c r="E86" s="127">
        <v>8000</v>
      </c>
      <c r="F86" s="16"/>
      <c r="G86" s="25"/>
      <c r="H86" s="56">
        <v>8000</v>
      </c>
      <c r="I86" s="34"/>
      <c r="J86" s="57"/>
      <c r="K86" s="19">
        <v>8000</v>
      </c>
      <c r="L86" s="17" t="s">
        <v>102</v>
      </c>
    </row>
    <row r="87" spans="1:12" s="11" customFormat="1" ht="16.899999999999999" customHeight="1" x14ac:dyDescent="0.2">
      <c r="A87" s="163"/>
      <c r="B87" s="58" t="s">
        <v>103</v>
      </c>
      <c r="C87" s="141"/>
      <c r="D87" s="141"/>
      <c r="E87" s="141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281000</v>
      </c>
      <c r="L87" s="17"/>
    </row>
    <row r="88" spans="1:12" s="11" customFormat="1" ht="16.899999999999999" customHeight="1" x14ac:dyDescent="0.2">
      <c r="A88" s="161" t="s">
        <v>132</v>
      </c>
      <c r="B88" s="76" t="s">
        <v>133</v>
      </c>
      <c r="C88" s="147"/>
      <c r="D88" s="147"/>
      <c r="E88" s="149">
        <v>2110000</v>
      </c>
      <c r="F88" s="13"/>
      <c r="G88" s="13"/>
      <c r="H88" s="15"/>
      <c r="I88" s="36"/>
      <c r="J88" s="35"/>
      <c r="K88" s="15"/>
      <c r="L88" s="17"/>
    </row>
    <row r="89" spans="1:12" s="11" customFormat="1" ht="16.899999999999999" customHeight="1" x14ac:dyDescent="0.2">
      <c r="A89" s="163"/>
      <c r="B89" s="58" t="s">
        <v>134</v>
      </c>
      <c r="C89" s="148"/>
      <c r="D89" s="148"/>
      <c r="E89" s="148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17"/>
    </row>
    <row r="90" spans="1:12" s="11" customFormat="1" ht="13.9" customHeight="1" x14ac:dyDescent="0.2">
      <c r="A90" s="69" t="s">
        <v>104</v>
      </c>
      <c r="B90" s="65" t="s">
        <v>105</v>
      </c>
      <c r="C90" s="143"/>
      <c r="D90" s="143"/>
      <c r="E90" s="143"/>
      <c r="F90" s="13"/>
      <c r="G90" s="13"/>
      <c r="H90" s="15">
        <v>0</v>
      </c>
      <c r="I90" s="36"/>
      <c r="J90" s="35"/>
      <c r="K90" s="15">
        <v>0</v>
      </c>
      <c r="L90" s="17"/>
    </row>
    <row r="91" spans="1:12" s="11" customFormat="1" ht="13.9" customHeight="1" x14ac:dyDescent="0.2">
      <c r="A91" s="70"/>
      <c r="B91" s="32" t="s">
        <v>106</v>
      </c>
      <c r="C91" s="129"/>
      <c r="D91" s="129"/>
      <c r="E91" s="129">
        <v>1030000</v>
      </c>
      <c r="F91" s="33"/>
      <c r="G91" s="33"/>
      <c r="H91" s="42"/>
      <c r="I91" s="43"/>
      <c r="J91" s="41"/>
      <c r="K91" s="42">
        <v>0</v>
      </c>
      <c r="L91" s="78" t="s">
        <v>146</v>
      </c>
    </row>
    <row r="92" spans="1:12" s="11" customFormat="1" ht="16.899999999999999" customHeight="1" x14ac:dyDescent="0.2">
      <c r="A92" s="168" t="s">
        <v>107</v>
      </c>
      <c r="B92" s="167"/>
      <c r="C92" s="141"/>
      <c r="D92" s="141"/>
      <c r="E92" s="141">
        <f>SUM(E43,E55,E59,E61,E63,E66,E72,E82,E87,E90,E91,E89)</f>
        <v>21673281</v>
      </c>
      <c r="F92" s="59"/>
      <c r="G92" s="59"/>
      <c r="H92" s="61">
        <f>SUM(H43,H55,H59,H61,H63,H66,H72,H82,H87,H90,H91,H89)</f>
        <v>11020717</v>
      </c>
      <c r="I92" s="40"/>
      <c r="J92" s="38"/>
      <c r="K92" s="61">
        <f>SUM(K43,K55,K66,K59,K61,K63,K72,K82,K87)</f>
        <v>12475528</v>
      </c>
      <c r="L92" s="17"/>
    </row>
    <row r="93" spans="1:12" s="11" customFormat="1" ht="16.899999999999999" customHeight="1" x14ac:dyDescent="0.2">
      <c r="A93" s="168" t="s">
        <v>108</v>
      </c>
      <c r="B93" s="167"/>
      <c r="C93" s="141"/>
      <c r="D93" s="141"/>
      <c r="E93" s="150">
        <f>E26-E92</f>
        <v>-1246281</v>
      </c>
      <c r="F93" s="59"/>
      <c r="G93" s="59"/>
      <c r="H93" s="61">
        <f>H26-H92</f>
        <v>1380283</v>
      </c>
      <c r="I93" s="40"/>
      <c r="J93" s="38"/>
      <c r="K93" s="61">
        <f>K26-K92</f>
        <v>360472</v>
      </c>
      <c r="L93" s="71"/>
    </row>
    <row r="94" spans="1:12" s="11" customFormat="1" ht="16.899999999999999" customHeight="1" x14ac:dyDescent="0.2">
      <c r="A94" s="168" t="s">
        <v>109</v>
      </c>
      <c r="B94" s="167"/>
      <c r="C94" s="141"/>
      <c r="D94" s="141"/>
      <c r="E94" s="141">
        <f>E28-E92</f>
        <v>1324611</v>
      </c>
      <c r="F94" s="59"/>
      <c r="G94" s="59"/>
      <c r="H94" s="61">
        <f>H28-H92</f>
        <v>4187000</v>
      </c>
      <c r="I94" s="40"/>
      <c r="J94" s="38"/>
      <c r="K94" s="61">
        <f>K28-K92</f>
        <v>1860472</v>
      </c>
      <c r="L94" s="72"/>
    </row>
  </sheetData>
  <mergeCells count="24">
    <mergeCell ref="A32:A43"/>
    <mergeCell ref="A1:L1"/>
    <mergeCell ref="A2:L2"/>
    <mergeCell ref="A26:B26"/>
    <mergeCell ref="A27:B27"/>
    <mergeCell ref="A28:B28"/>
    <mergeCell ref="A93:B93"/>
    <mergeCell ref="A94:B94"/>
    <mergeCell ref="A44:A55"/>
    <mergeCell ref="A56:A59"/>
    <mergeCell ref="A60:A61"/>
    <mergeCell ref="A62:A63"/>
    <mergeCell ref="A64:A66"/>
    <mergeCell ref="A67:A72"/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松並陽一</cp:lastModifiedBy>
  <cp:lastPrinted>2020-12-23T01:28:46Z</cp:lastPrinted>
  <dcterms:created xsi:type="dcterms:W3CDTF">2017-12-29T07:55:03Z</dcterms:created>
  <dcterms:modified xsi:type="dcterms:W3CDTF">2020-12-28T10:46:12Z</dcterms:modified>
</cp:coreProperties>
</file>