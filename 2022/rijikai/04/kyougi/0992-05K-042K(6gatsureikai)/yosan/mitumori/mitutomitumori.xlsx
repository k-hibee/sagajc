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 filterPrivacy="1"/>
  <bookViews>
    <workbookView xWindow="0" yWindow="465" windowWidth="20175" windowHeight="11760"/>
  </bookViews>
  <sheets>
    <sheet name="見積書" sheetId="1" r:id="rId1"/>
  </sheets>
  <definedNames>
    <definedName name="_xlnm.Print_Area" localSheetId="0">見積書!$A$1:$Q$37</definedName>
  </definedNames>
  <calcPr calcId="125725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29" i="1"/>
  <c r="O28"/>
  <c r="O27"/>
  <c r="O26"/>
  <c r="O25"/>
  <c r="O24"/>
  <c r="O23"/>
  <c r="O22"/>
  <c r="O21"/>
  <c r="O20"/>
  <c r="O18"/>
  <c r="L30" l="1"/>
  <c r="L31" s="1"/>
  <c r="L32" l="1"/>
  <c r="D15" s="1"/>
</calcChain>
</file>

<file path=xl/comments1.xml><?xml version="1.0" encoding="utf-8"?>
<comments xmlns="http://schemas.openxmlformats.org/spreadsheetml/2006/main">
  <authors>
    <author>作成者</author>
  </authors>
  <commentList>
    <comment ref="D15" authorId="0">
      <text>
        <r>
          <rPr>
            <sz val="9"/>
            <color indexed="81"/>
            <rFont val="ＭＳ Ｐゴシック"/>
            <family val="3"/>
            <charset val="128"/>
          </rPr>
          <t>数式が入っています。</t>
        </r>
      </text>
    </comment>
    <comment ref="O18" authorId="0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19" authorId="0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20" authorId="0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21" authorId="0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22" authorId="0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23" authorId="0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24" authorId="0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25" authorId="0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26" authorId="0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27" authorId="0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28" authorId="0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29" authorId="0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L30" authorId="0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L31" authorId="0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L32" authorId="0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</commentList>
</comments>
</file>

<file path=xl/sharedStrings.xml><?xml version="1.0" encoding="utf-8"?>
<sst xmlns="http://schemas.openxmlformats.org/spreadsheetml/2006/main" count="40" uniqueCount="38">
  <si>
    <t>御中</t>
    <rPh sb="0" eb="2">
      <t>オンチュウ</t>
    </rPh>
    <phoneticPr fontId="1"/>
  </si>
  <si>
    <t>TEL：</t>
    <phoneticPr fontId="1"/>
  </si>
  <si>
    <t>合計金額</t>
    <rPh sb="0" eb="2">
      <t>ゴウケイ</t>
    </rPh>
    <rPh sb="2" eb="4">
      <t>キンガク</t>
    </rPh>
    <phoneticPr fontId="1"/>
  </si>
  <si>
    <t>（税込）</t>
    <rPh sb="1" eb="3">
      <t>ゼイコミ</t>
    </rPh>
    <phoneticPr fontId="1"/>
  </si>
  <si>
    <t>No.</t>
    <phoneticPr fontId="1"/>
  </si>
  <si>
    <t>金額</t>
    <rPh sb="0" eb="2">
      <t>キンガク</t>
    </rPh>
    <phoneticPr fontId="1"/>
  </si>
  <si>
    <t>単価</t>
    <rPh sb="0" eb="2">
      <t>タンカ</t>
    </rPh>
    <phoneticPr fontId="1"/>
  </si>
  <si>
    <t>式</t>
    <rPh sb="0" eb="1">
      <t>シキ</t>
    </rPh>
    <phoneticPr fontId="1"/>
  </si>
  <si>
    <t>個</t>
    <rPh sb="0" eb="1">
      <t>コ</t>
    </rPh>
    <phoneticPr fontId="1"/>
  </si>
  <si>
    <t>時間</t>
    <rPh sb="0" eb="2">
      <t>ジカン</t>
    </rPh>
    <phoneticPr fontId="1"/>
  </si>
  <si>
    <t>日</t>
    <rPh sb="0" eb="1">
      <t>ニチ</t>
    </rPh>
    <phoneticPr fontId="1"/>
  </si>
  <si>
    <t>ヶ月</t>
    <rPh sb="1" eb="2">
      <t>ゲツ</t>
    </rPh>
    <phoneticPr fontId="1"/>
  </si>
  <si>
    <t>数量</t>
    <rPh sb="0" eb="2">
      <t>スウリョウ</t>
    </rPh>
    <phoneticPr fontId="1"/>
  </si>
  <si>
    <t>件名：</t>
    <rPh sb="0" eb="2">
      <t>ケンメイ</t>
    </rPh>
    <phoneticPr fontId="1"/>
  </si>
  <si>
    <t>小計</t>
    <rPh sb="0" eb="2">
      <t>ショウケイ</t>
    </rPh>
    <phoneticPr fontId="1"/>
  </si>
  <si>
    <t>消費税</t>
    <rPh sb="0" eb="3">
      <t>ショウヒゼイ</t>
    </rPh>
    <phoneticPr fontId="1"/>
  </si>
  <si>
    <t>合計</t>
    <rPh sb="0" eb="2">
      <t>ゴウケイ</t>
    </rPh>
    <phoneticPr fontId="1"/>
  </si>
  <si>
    <t>備考</t>
    <rPh sb="0" eb="2">
      <t>ビコウ</t>
    </rPh>
    <phoneticPr fontId="1"/>
  </si>
  <si>
    <t>摘要</t>
    <rPh sb="0" eb="2">
      <t>テキヨウ</t>
    </rPh>
    <phoneticPr fontId="1"/>
  </si>
  <si>
    <t>(c）クラウド請求書作成・経営管理ツール 「board」</t>
    <rPh sb="7" eb="12">
      <t>セイキュウショサクセイ</t>
    </rPh>
    <rPh sb="13" eb="17">
      <t>ケイエイカンリ</t>
    </rPh>
    <phoneticPr fontId="1"/>
  </si>
  <si>
    <t>他のテンプレートはこちら</t>
    <rPh sb="0" eb="1">
      <t>ホカ</t>
    </rPh>
    <phoneticPr fontId="1"/>
  </si>
  <si>
    <t>Excelでの書類作成に疲れた方はこちら</t>
    <rPh sb="7" eb="9">
      <t>ショルイ</t>
    </rPh>
    <rPh sb="9" eb="11">
      <t>サクセイ</t>
    </rPh>
    <rPh sb="12" eb="13">
      <t>ツカ</t>
    </rPh>
    <rPh sb="15" eb="16">
      <t>カタ</t>
    </rPh>
    <phoneticPr fontId="1"/>
  </si>
  <si>
    <t>下記のとおり、御見積もり申し上げます。</t>
    <phoneticPr fontId="1"/>
  </si>
  <si>
    <t>御　見　積　書</t>
    <phoneticPr fontId="1"/>
  </si>
  <si>
    <t>見積日</t>
    <rPh sb="0" eb="2">
      <t>ミ</t>
    </rPh>
    <rPh sb="2" eb="3">
      <t>ビ</t>
    </rPh>
    <phoneticPr fontId="1"/>
  </si>
  <si>
    <t>納期：</t>
    <rPh sb="0" eb="2">
      <t>ノウキ</t>
    </rPh>
    <phoneticPr fontId="1"/>
  </si>
  <si>
    <t>別途ご相談</t>
    <rPh sb="0" eb="2">
      <t>ベットゴソウダン</t>
    </rPh>
    <phoneticPr fontId="1"/>
  </si>
  <si>
    <t>有効期限：</t>
    <rPh sb="0" eb="4">
      <t>ユウコウキゲン</t>
    </rPh>
    <phoneticPr fontId="1"/>
  </si>
  <si>
    <t>(一社)佐賀青年会議所</t>
    <rPh sb="1" eb="3">
      <t>イッシャ</t>
    </rPh>
    <rPh sb="4" eb="6">
      <t>サガ</t>
    </rPh>
    <rPh sb="6" eb="8">
      <t>セイネン</t>
    </rPh>
    <rPh sb="8" eb="11">
      <t>カイギショ</t>
    </rPh>
    <phoneticPr fontId="1"/>
  </si>
  <si>
    <t>振込先</t>
    <rPh sb="0" eb="2">
      <t>フリコミ</t>
    </rPh>
    <rPh sb="2" eb="3">
      <t>サキ</t>
    </rPh>
    <phoneticPr fontId="1"/>
  </si>
  <si>
    <t>レンタルミット・グローブ一式</t>
    <rPh sb="12" eb="14">
      <t>イッシキ</t>
    </rPh>
    <phoneticPr fontId="1"/>
  </si>
  <si>
    <t>　代　表　　　　田中　徳晃</t>
    <rPh sb="1" eb="2">
      <t>ダイ</t>
    </rPh>
    <rPh sb="3" eb="4">
      <t>オモテ</t>
    </rPh>
    <rPh sb="8" eb="10">
      <t>タナカ</t>
    </rPh>
    <rPh sb="11" eb="12">
      <t>トク</t>
    </rPh>
    <rPh sb="12" eb="13">
      <t>アキラ</t>
    </rPh>
    <phoneticPr fontId="1"/>
  </si>
  <si>
    <t>〒840-2214</t>
    <phoneticPr fontId="1"/>
  </si>
  <si>
    <t>佐賀市川副町大字小々森１２４－５</t>
    <rPh sb="0" eb="3">
      <t>サガシ</t>
    </rPh>
    <rPh sb="3" eb="5">
      <t>カワソエ</t>
    </rPh>
    <rPh sb="5" eb="6">
      <t>マチ</t>
    </rPh>
    <rPh sb="6" eb="8">
      <t>オオアザ</t>
    </rPh>
    <rPh sb="8" eb="11">
      <t>コゴモリ</t>
    </rPh>
    <phoneticPr fontId="1"/>
  </si>
  <si>
    <t>０９０－９５８２－９７６４</t>
    <phoneticPr fontId="1"/>
  </si>
  <si>
    <t>（保険込み）</t>
    <rPh sb="1" eb="3">
      <t>ホケン</t>
    </rPh>
    <rPh sb="3" eb="4">
      <t>コ</t>
    </rPh>
    <phoneticPr fontId="1"/>
  </si>
  <si>
    <t>※保険込み</t>
    <rPh sb="1" eb="3">
      <t>ホケン</t>
    </rPh>
    <rPh sb="3" eb="4">
      <t>ゴ</t>
    </rPh>
    <phoneticPr fontId="1"/>
  </si>
  <si>
    <t>　佐賀銀行　北方支店【普通】１２３９２４０　クリハラリョウ</t>
    <rPh sb="1" eb="3">
      <t>サガ</t>
    </rPh>
    <rPh sb="3" eb="5">
      <t>ギンコウ</t>
    </rPh>
    <rPh sb="6" eb="8">
      <t>キタガタ</t>
    </rPh>
    <rPh sb="8" eb="10">
      <t>シテン</t>
    </rPh>
    <phoneticPr fontId="1"/>
  </si>
</sst>
</file>

<file path=xl/styles.xml><?xml version="1.0" encoding="utf-8"?>
<styleSheet xmlns="http://schemas.openxmlformats.org/spreadsheetml/2006/main">
  <numFmts count="3">
    <numFmt numFmtId="6" formatCode="&quot;¥&quot;#,##0;[Red]&quot;¥&quot;\-#,##0"/>
    <numFmt numFmtId="176" formatCode="[$-F800]dddd\,\ mmmm\ dd\,\ yyyy"/>
    <numFmt numFmtId="177" formatCode="#,##0;[Red]\-#,##0&quot;（税込）&quot;"/>
  </numFmts>
  <fonts count="13">
    <font>
      <sz val="11"/>
      <color theme="1"/>
      <name val="Yu Gothic"/>
      <family val="3"/>
      <charset val="128"/>
      <scheme val="minor"/>
    </font>
    <font>
      <sz val="6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12"/>
      <color theme="1"/>
      <name val="Yu Gothic"/>
      <family val="3"/>
      <charset val="128"/>
      <scheme val="minor"/>
    </font>
    <font>
      <u/>
      <sz val="11"/>
      <color theme="10"/>
      <name val="Yu Gothic"/>
      <family val="3"/>
      <charset val="128"/>
      <scheme val="minor"/>
    </font>
    <font>
      <sz val="18"/>
      <color theme="1"/>
      <name val="美杉ゴシックM"/>
      <family val="3"/>
      <charset val="128"/>
    </font>
    <font>
      <sz val="11"/>
      <color theme="1"/>
      <name val="美杉ゴシックM"/>
      <family val="3"/>
      <charset val="128"/>
    </font>
    <font>
      <sz val="16"/>
      <color theme="1"/>
      <name val="美杉ゴシックM"/>
      <family val="3"/>
      <charset val="128"/>
    </font>
    <font>
      <sz val="14"/>
      <color theme="1"/>
      <name val="美杉ゴシックM"/>
      <family val="3"/>
      <charset val="128"/>
    </font>
    <font>
      <sz val="12"/>
      <color theme="1"/>
      <name val="美杉ゴシックM"/>
      <family val="3"/>
      <charset val="128"/>
    </font>
    <font>
      <b/>
      <sz val="14"/>
      <color theme="1"/>
      <name val="美杉ゴシックM"/>
      <family val="3"/>
      <charset val="128"/>
    </font>
    <font>
      <b/>
      <sz val="12"/>
      <color theme="1"/>
      <name val="美杉ゴシックM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6" fontId="3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9" fontId="3" fillId="0" borderId="0" xfId="1" applyFont="1">
      <alignment vertical="center"/>
    </xf>
    <xf numFmtId="0" fontId="4" fillId="0" borderId="0" xfId="0" applyFont="1" applyProtection="1">
      <alignment vertical="center"/>
      <protection locked="0"/>
    </xf>
    <xf numFmtId="0" fontId="5" fillId="0" borderId="0" xfId="4" applyProtection="1">
      <alignment vertical="center"/>
      <protection locked="0"/>
    </xf>
    <xf numFmtId="0" fontId="7" fillId="0" borderId="0" xfId="0" applyFont="1" applyProtection="1">
      <alignment vertical="center"/>
      <protection locked="0"/>
    </xf>
    <xf numFmtId="0" fontId="10" fillId="0" borderId="0" xfId="0" applyFont="1" applyProtection="1">
      <alignment vertical="center"/>
      <protection locked="0"/>
    </xf>
    <xf numFmtId="0" fontId="10" fillId="0" borderId="0" xfId="0" applyFont="1" applyAlignment="1" applyProtection="1">
      <alignment horizontal="right" vertical="center"/>
      <protection locked="0"/>
    </xf>
    <xf numFmtId="0" fontId="10" fillId="0" borderId="0" xfId="0" applyFont="1" applyAlignment="1" applyProtection="1">
      <alignment vertical="center"/>
      <protection locked="0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0" fillId="0" borderId="1" xfId="0" applyFont="1" applyBorder="1" applyProtection="1">
      <alignment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10" fillId="0" borderId="3" xfId="0" applyFont="1" applyBorder="1" applyAlignment="1" applyProtection="1">
      <alignment horizontal="center" vertical="center"/>
    </xf>
    <xf numFmtId="0" fontId="10" fillId="0" borderId="0" xfId="0" applyFont="1" applyAlignment="1" applyProtection="1">
      <alignment horizontal="left" vertical="center"/>
      <protection locked="0"/>
    </xf>
    <xf numFmtId="0" fontId="10" fillId="3" borderId="7" xfId="0" applyFont="1" applyFill="1" applyBorder="1" applyAlignment="1" applyProtection="1">
      <alignment horizontal="center" vertical="center"/>
      <protection locked="0"/>
    </xf>
    <xf numFmtId="0" fontId="10" fillId="3" borderId="8" xfId="0" applyFont="1" applyFill="1" applyBorder="1" applyAlignment="1" applyProtection="1">
      <alignment horizontal="center" vertical="center"/>
      <protection locked="0"/>
    </xf>
    <xf numFmtId="0" fontId="10" fillId="3" borderId="9" xfId="0" applyFont="1" applyFill="1" applyBorder="1" applyAlignment="1" applyProtection="1">
      <alignment horizontal="center" vertical="center"/>
      <protection locked="0"/>
    </xf>
    <xf numFmtId="0" fontId="10" fillId="3" borderId="10" xfId="0" applyFont="1" applyFill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8" fillId="0" borderId="4" xfId="0" applyFont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left" vertical="center"/>
      <protection locked="0"/>
    </xf>
    <xf numFmtId="0" fontId="10" fillId="0" borderId="0" xfId="0" applyFont="1" applyAlignment="1" applyProtection="1">
      <alignment vertical="center"/>
      <protection locked="0"/>
    </xf>
    <xf numFmtId="176" fontId="10" fillId="0" borderId="0" xfId="0" applyNumberFormat="1" applyFont="1" applyAlignment="1" applyProtection="1">
      <alignment horizontal="right" vertical="center"/>
      <protection locked="0"/>
    </xf>
    <xf numFmtId="0" fontId="10" fillId="0" borderId="0" xfId="0" applyFont="1" applyBorder="1" applyAlignment="1" applyProtection="1">
      <alignment vertical="center"/>
      <protection locked="0"/>
    </xf>
    <xf numFmtId="0" fontId="10" fillId="0" borderId="0" xfId="0" applyFont="1" applyBorder="1" applyAlignment="1" applyProtection="1">
      <alignment horizontal="center" vertical="center"/>
      <protection locked="0"/>
    </xf>
    <xf numFmtId="6" fontId="11" fillId="0" borderId="5" xfId="3" applyFont="1" applyBorder="1" applyAlignment="1" applyProtection="1">
      <alignment horizontal="center" vertical="center"/>
    </xf>
    <xf numFmtId="177" fontId="10" fillId="0" borderId="5" xfId="2" applyNumberFormat="1" applyFont="1" applyBorder="1" applyAlignment="1" applyProtection="1">
      <alignment vertical="center"/>
      <protection locked="0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0" fillId="3" borderId="1" xfId="0" applyFont="1" applyFill="1" applyBorder="1" applyAlignment="1" applyProtection="1">
      <alignment horizontal="center" vertical="center"/>
      <protection locked="0"/>
    </xf>
    <xf numFmtId="0" fontId="10" fillId="0" borderId="7" xfId="0" applyFont="1" applyBorder="1" applyAlignment="1" applyProtection="1">
      <alignment horizontal="left" vertical="center"/>
      <protection locked="0"/>
    </xf>
    <xf numFmtId="0" fontId="10" fillId="0" borderId="11" xfId="0" applyFont="1" applyBorder="1" applyAlignment="1" applyProtection="1">
      <alignment horizontal="left" vertical="center"/>
      <protection locked="0"/>
    </xf>
    <xf numFmtId="0" fontId="10" fillId="0" borderId="8" xfId="0" applyFont="1" applyBorder="1" applyAlignment="1" applyProtection="1">
      <alignment horizontal="left" vertical="center"/>
      <protection locked="0"/>
    </xf>
    <xf numFmtId="0" fontId="10" fillId="0" borderId="12" xfId="0" applyFont="1" applyBorder="1" applyAlignment="1" applyProtection="1">
      <alignment horizontal="left" vertical="center"/>
      <protection locked="0"/>
    </xf>
    <xf numFmtId="0" fontId="10" fillId="0" borderId="0" xfId="0" applyFont="1" applyBorder="1" applyAlignment="1" applyProtection="1">
      <alignment horizontal="left" vertical="center"/>
      <protection locked="0"/>
    </xf>
    <xf numFmtId="0" fontId="10" fillId="0" borderId="13" xfId="0" applyFont="1" applyBorder="1" applyAlignment="1" applyProtection="1">
      <alignment horizontal="left" vertical="center"/>
      <protection locked="0"/>
    </xf>
    <xf numFmtId="38" fontId="10" fillId="0" borderId="2" xfId="2" applyFont="1" applyBorder="1" applyAlignment="1" applyProtection="1">
      <alignment horizontal="right" vertical="center"/>
      <protection locked="0"/>
    </xf>
    <xf numFmtId="38" fontId="10" fillId="0" borderId="6" xfId="2" applyFont="1" applyBorder="1" applyAlignment="1" applyProtection="1">
      <alignment horizontal="right" vertical="center"/>
      <protection locked="0"/>
    </xf>
    <xf numFmtId="38" fontId="10" fillId="0" borderId="3" xfId="2" applyFont="1" applyBorder="1" applyAlignment="1" applyProtection="1">
      <alignment horizontal="right" vertical="center"/>
      <protection locked="0"/>
    </xf>
    <xf numFmtId="0" fontId="9" fillId="0" borderId="5" xfId="0" applyFont="1" applyBorder="1" applyAlignment="1" applyProtection="1">
      <alignment horizontal="right" vertical="center"/>
      <protection locked="0"/>
    </xf>
    <xf numFmtId="0" fontId="9" fillId="0" borderId="5" xfId="0" applyFont="1" applyBorder="1" applyAlignment="1" applyProtection="1">
      <alignment vertical="center"/>
      <protection locked="0"/>
    </xf>
    <xf numFmtId="0" fontId="7" fillId="0" borderId="0" xfId="0" applyFont="1" applyAlignment="1" applyProtection="1">
      <alignment horizontal="right" vertical="center"/>
      <protection locked="0"/>
    </xf>
    <xf numFmtId="0" fontId="10" fillId="0" borderId="4" xfId="0" applyFont="1" applyBorder="1" applyAlignment="1" applyProtection="1">
      <alignment horizontal="left" vertical="center"/>
      <protection locked="0"/>
    </xf>
    <xf numFmtId="31" fontId="10" fillId="0" borderId="4" xfId="0" applyNumberFormat="1" applyFont="1" applyBorder="1" applyAlignment="1" applyProtection="1">
      <alignment horizontal="left" vertical="center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6" fontId="10" fillId="0" borderId="1" xfId="3" applyFont="1" applyBorder="1" applyAlignment="1" applyProtection="1">
      <alignment horizontal="right" vertical="center"/>
    </xf>
    <xf numFmtId="0" fontId="10" fillId="0" borderId="0" xfId="0" applyFont="1" applyBorder="1" applyAlignment="1" applyProtection="1">
      <alignment horizontal="right" vertical="center"/>
      <protection locked="0"/>
    </xf>
    <xf numFmtId="0" fontId="12" fillId="0" borderId="0" xfId="0" applyFont="1" applyBorder="1" applyAlignment="1" applyProtection="1">
      <alignment horizontal="center" vertical="center"/>
      <protection locked="0"/>
    </xf>
    <xf numFmtId="38" fontId="10" fillId="0" borderId="1" xfId="2" applyFont="1" applyBorder="1" applyAlignment="1" applyProtection="1">
      <alignment horizontal="right"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 applyProtection="1">
      <alignment horizontal="center" vertical="center"/>
      <protection locked="0"/>
    </xf>
    <xf numFmtId="6" fontId="10" fillId="0" borderId="1" xfId="0" applyNumberFormat="1" applyFont="1" applyBorder="1" applyAlignment="1" applyProtection="1">
      <alignment horizontal="right" vertical="center"/>
    </xf>
    <xf numFmtId="0" fontId="10" fillId="0" borderId="1" xfId="0" applyFont="1" applyBorder="1" applyAlignment="1" applyProtection="1">
      <alignment horizontal="right" vertical="center"/>
    </xf>
    <xf numFmtId="0" fontId="10" fillId="0" borderId="7" xfId="0" applyFont="1" applyBorder="1" applyAlignment="1" applyProtection="1">
      <alignment horizontal="center" vertical="center"/>
      <protection locked="0"/>
    </xf>
    <xf numFmtId="0" fontId="10" fillId="0" borderId="11" xfId="0" applyFont="1" applyBorder="1" applyAlignment="1" applyProtection="1">
      <alignment horizontal="center" vertical="center"/>
      <protection locked="0"/>
    </xf>
    <xf numFmtId="0" fontId="10" fillId="0" borderId="8" xfId="0" applyFont="1" applyBorder="1" applyAlignment="1" applyProtection="1">
      <alignment horizontal="center" vertical="center"/>
      <protection locked="0"/>
    </xf>
    <xf numFmtId="0" fontId="10" fillId="0" borderId="9" xfId="0" applyFont="1" applyBorder="1" applyAlignment="1" applyProtection="1">
      <alignment horizontal="center" vertical="center"/>
      <protection locked="0"/>
    </xf>
    <xf numFmtId="0" fontId="10" fillId="0" borderId="4" xfId="0" applyFont="1" applyBorder="1" applyAlignment="1" applyProtection="1">
      <alignment horizontal="center" vertical="center"/>
      <protection locked="0"/>
    </xf>
    <xf numFmtId="0" fontId="10" fillId="0" borderId="10" xfId="0" applyFont="1" applyBorder="1" applyAlignment="1" applyProtection="1">
      <alignment horizontal="center" vertical="center"/>
      <protection locked="0"/>
    </xf>
    <xf numFmtId="0" fontId="10" fillId="0" borderId="4" xfId="0" applyFont="1" applyBorder="1" applyAlignment="1" applyProtection="1">
      <alignment vertical="center"/>
      <protection locked="0"/>
    </xf>
    <xf numFmtId="6" fontId="12" fillId="0" borderId="1" xfId="3" applyFont="1" applyBorder="1" applyAlignment="1" applyProtection="1">
      <alignment horizontal="right" vertical="center"/>
    </xf>
  </cellXfs>
  <cellStyles count="5">
    <cellStyle name="パーセント" xfId="1" builtinId="5"/>
    <cellStyle name="ハイパーリンク" xfId="4" builtinId="8"/>
    <cellStyle name="桁区切り" xfId="2" builtinId="6"/>
    <cellStyle name="通貨" xfId="3" builtinId="7"/>
    <cellStyle name="標準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266699</xdr:colOff>
      <xdr:row>11</xdr:row>
      <xdr:rowOff>180975</xdr:rowOff>
    </xdr:from>
    <xdr:to>
      <xdr:col>15</xdr:col>
      <xdr:colOff>420466</xdr:colOff>
      <xdr:row>16</xdr:row>
      <xdr:rowOff>47722</xdr:rowOff>
    </xdr:to>
    <xdr:pic>
      <xdr:nvPicPr>
        <xdr:cNvPr id="11" name="図 10"/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10000" contrast="-20000"/>
        </a:blip>
        <a:stretch>
          <a:fillRect/>
        </a:stretch>
      </xdr:blipFill>
      <xdr:spPr>
        <a:xfrm>
          <a:off x="5838824" y="3124200"/>
          <a:ext cx="1011017" cy="990697"/>
        </a:xfrm>
        <a:prstGeom prst="rect">
          <a:avLst/>
        </a:prstGeom>
        <a:noFill/>
      </xdr:spPr>
    </xdr:pic>
    <xdr:clientData/>
  </xdr:twoCellAnchor>
  <xdr:twoCellAnchor editAs="oneCell">
    <xdr:from>
      <xdr:col>8</xdr:col>
      <xdr:colOff>295276</xdr:colOff>
      <xdr:row>0</xdr:row>
      <xdr:rowOff>238125</xdr:rowOff>
    </xdr:from>
    <xdr:to>
      <xdr:col>18</xdr:col>
      <xdr:colOff>76200</xdr:colOff>
      <xdr:row>11</xdr:row>
      <xdr:rowOff>168972</xdr:rowOff>
    </xdr:to>
    <xdr:pic>
      <xdr:nvPicPr>
        <xdr:cNvPr id="4" name="図 3" descr="S__18718732.jpg"/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724276" y="238125"/>
          <a:ext cx="4067174" cy="28740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he-board.jp/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the-board.jp/" TargetMode="External"/><Relationship Id="rId1" Type="http://schemas.openxmlformats.org/officeDocument/2006/relationships/hyperlink" Target="http://template.the-board.jp/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T42"/>
  <sheetViews>
    <sheetView showGridLines="0" tabSelected="1" workbookViewId="0">
      <selection activeCell="R43" sqref="R43"/>
    </sheetView>
  </sheetViews>
  <sheetFormatPr defaultColWidth="5.625" defaultRowHeight="30" customHeight="1"/>
  <sheetData>
    <row r="1" spans="1:20" ht="30" customHeight="1">
      <c r="A1" s="18" t="s">
        <v>23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20" ht="9.9499999999999993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20" ht="30" customHeight="1">
      <c r="A3" s="19" t="s">
        <v>28</v>
      </c>
      <c r="B3" s="19"/>
      <c r="C3" s="19"/>
      <c r="D3" s="19"/>
      <c r="E3" s="19"/>
      <c r="F3" s="19"/>
      <c r="G3" s="19"/>
      <c r="H3" s="20" t="s">
        <v>0</v>
      </c>
      <c r="I3" s="20"/>
      <c r="J3" s="4"/>
      <c r="K3" s="4"/>
      <c r="L3" s="21" t="s">
        <v>24</v>
      </c>
      <c r="M3" s="21"/>
      <c r="N3" s="22">
        <v>44640</v>
      </c>
      <c r="O3" s="22"/>
      <c r="P3" s="22"/>
      <c r="Q3" s="22"/>
    </row>
    <row r="4" spans="1:20" ht="30" customHeight="1">
      <c r="A4" s="4"/>
      <c r="B4" s="23"/>
      <c r="C4" s="23"/>
      <c r="D4" s="24"/>
      <c r="E4" s="24"/>
      <c r="F4" s="24"/>
      <c r="G4" s="5"/>
      <c r="H4" s="4"/>
      <c r="I4" s="4"/>
      <c r="J4" s="4"/>
      <c r="K4" s="4"/>
      <c r="L4" s="21"/>
      <c r="M4" s="21"/>
      <c r="N4" s="22"/>
      <c r="O4" s="22"/>
      <c r="P4" s="22"/>
      <c r="Q4" s="22"/>
    </row>
    <row r="5" spans="1:20" ht="9.9499999999999993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20" ht="24.95" customHeight="1" thickBot="1">
      <c r="A6" s="38" t="s">
        <v>13</v>
      </c>
      <c r="B6" s="38"/>
      <c r="C6" s="39" t="s">
        <v>30</v>
      </c>
      <c r="D6" s="39"/>
      <c r="E6" s="39"/>
      <c r="F6" s="39"/>
      <c r="G6" s="39"/>
      <c r="H6" s="39"/>
      <c r="I6" s="39"/>
      <c r="J6" s="4"/>
      <c r="K6" s="21"/>
      <c r="L6" s="21"/>
      <c r="M6" s="21"/>
      <c r="N6" s="21"/>
      <c r="O6" s="21"/>
      <c r="P6" s="21"/>
      <c r="Q6" s="21"/>
      <c r="S6" t="s">
        <v>8</v>
      </c>
      <c r="T6" s="1">
        <v>0.1</v>
      </c>
    </row>
    <row r="7" spans="1:20" ht="20.100000000000001" customHeight="1" thickTop="1">
      <c r="A7" s="4"/>
      <c r="B7" s="21" t="s">
        <v>22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S7" t="s">
        <v>7</v>
      </c>
    </row>
    <row r="8" spans="1:20" ht="20.100000000000001" customHeight="1">
      <c r="A8" s="4"/>
      <c r="B8" s="4"/>
      <c r="C8" s="4"/>
      <c r="D8" s="4"/>
      <c r="E8" s="4"/>
      <c r="F8" s="4"/>
      <c r="G8" s="4"/>
      <c r="H8" s="4"/>
      <c r="I8" s="4"/>
      <c r="J8" s="4"/>
      <c r="K8" s="21"/>
      <c r="L8" s="21"/>
      <c r="M8" s="21"/>
      <c r="N8" s="21"/>
      <c r="O8" s="21"/>
      <c r="P8" s="21"/>
      <c r="Q8" s="21"/>
      <c r="S8" t="s">
        <v>9</v>
      </c>
    </row>
    <row r="9" spans="1:20" ht="20.100000000000001" customHeight="1">
      <c r="A9" s="4"/>
      <c r="B9" s="4"/>
      <c r="C9" s="4"/>
      <c r="D9" s="4"/>
      <c r="E9" s="4"/>
      <c r="F9" s="4"/>
      <c r="G9" s="4"/>
      <c r="H9" s="4"/>
      <c r="I9" s="4"/>
      <c r="J9" s="4"/>
      <c r="K9" s="21" t="s">
        <v>31</v>
      </c>
      <c r="L9" s="21"/>
      <c r="M9" s="21"/>
      <c r="N9" s="21"/>
      <c r="O9" s="21"/>
      <c r="P9" s="21"/>
      <c r="Q9" s="21"/>
      <c r="S9" t="s">
        <v>10</v>
      </c>
    </row>
    <row r="10" spans="1:20" ht="20.100000000000001" customHeight="1">
      <c r="A10" s="40" t="s">
        <v>25</v>
      </c>
      <c r="B10" s="40"/>
      <c r="C10" s="41" t="s">
        <v>26</v>
      </c>
      <c r="D10" s="41"/>
      <c r="E10" s="41"/>
      <c r="F10" s="41"/>
      <c r="G10" s="41"/>
      <c r="H10" s="41"/>
      <c r="I10" s="41"/>
      <c r="J10" s="4"/>
      <c r="K10" s="21" t="s">
        <v>32</v>
      </c>
      <c r="L10" s="21"/>
      <c r="M10" s="21"/>
      <c r="N10" s="21"/>
      <c r="O10" s="21"/>
      <c r="P10" s="21"/>
      <c r="Q10" s="21"/>
      <c r="S10" t="s">
        <v>11</v>
      </c>
    </row>
    <row r="11" spans="1:20" ht="20.100000000000001" customHeight="1">
      <c r="A11" s="40"/>
      <c r="B11" s="40"/>
      <c r="C11" s="41"/>
      <c r="D11" s="41"/>
      <c r="E11" s="41"/>
      <c r="F11" s="41"/>
      <c r="G11" s="41"/>
      <c r="H11" s="41"/>
      <c r="I11" s="41"/>
      <c r="J11" s="4"/>
      <c r="K11" s="21" t="s">
        <v>33</v>
      </c>
      <c r="L11" s="21"/>
      <c r="M11" s="21"/>
      <c r="N11" s="21"/>
      <c r="O11" s="21"/>
      <c r="P11" s="21"/>
      <c r="Q11" s="21"/>
    </row>
    <row r="12" spans="1:20" ht="20.100000000000001" customHeight="1">
      <c r="A12" s="40" t="s">
        <v>27</v>
      </c>
      <c r="B12" s="40"/>
      <c r="C12" s="42">
        <v>44926</v>
      </c>
      <c r="D12" s="41"/>
      <c r="E12" s="41"/>
      <c r="F12" s="41"/>
      <c r="G12" s="41"/>
      <c r="H12" s="41"/>
      <c r="I12" s="41"/>
      <c r="J12" s="4"/>
      <c r="K12" s="6" t="s">
        <v>1</v>
      </c>
      <c r="L12" s="12" t="s">
        <v>34</v>
      </c>
      <c r="M12" s="7"/>
      <c r="N12" s="7"/>
      <c r="O12" s="7"/>
      <c r="P12" s="7"/>
      <c r="Q12" s="7"/>
    </row>
    <row r="13" spans="1:20" ht="20.100000000000001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6"/>
      <c r="L13" s="6"/>
      <c r="M13" s="7"/>
      <c r="N13" s="7"/>
      <c r="O13" s="7"/>
      <c r="P13" s="7"/>
      <c r="Q13" s="7"/>
    </row>
    <row r="14" spans="1:20" ht="9.9499999999999993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6"/>
      <c r="L14" s="6"/>
      <c r="M14" s="7"/>
      <c r="N14" s="7"/>
      <c r="O14" s="7"/>
      <c r="P14" s="7"/>
      <c r="Q14" s="7"/>
    </row>
    <row r="15" spans="1:20" ht="30" customHeight="1" thickBot="1">
      <c r="A15" s="43" t="s">
        <v>2</v>
      </c>
      <c r="B15" s="43"/>
      <c r="C15" s="43"/>
      <c r="D15" s="25">
        <f>L32</f>
        <v>5500</v>
      </c>
      <c r="E15" s="25"/>
      <c r="F15" s="25"/>
      <c r="G15" s="25"/>
      <c r="H15" s="26" t="s">
        <v>3</v>
      </c>
      <c r="I15" s="26"/>
      <c r="J15" s="45"/>
      <c r="K15" s="45"/>
      <c r="L15" s="45"/>
      <c r="M15" s="46"/>
      <c r="N15" s="46"/>
      <c r="O15" s="46"/>
      <c r="P15" s="46"/>
      <c r="Q15" s="46"/>
    </row>
    <row r="16" spans="1:20" ht="9.9499999999999993" customHeight="1" thickTop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17" ht="24.95" customHeight="1">
      <c r="A17" s="8" t="s">
        <v>4</v>
      </c>
      <c r="B17" s="27" t="s">
        <v>18</v>
      </c>
      <c r="C17" s="27"/>
      <c r="D17" s="27"/>
      <c r="E17" s="27"/>
      <c r="F17" s="27"/>
      <c r="G17" s="27"/>
      <c r="H17" s="27"/>
      <c r="I17" s="27"/>
      <c r="J17" s="27" t="s">
        <v>12</v>
      </c>
      <c r="K17" s="27"/>
      <c r="L17" s="27" t="s">
        <v>6</v>
      </c>
      <c r="M17" s="27"/>
      <c r="N17" s="27"/>
      <c r="O17" s="27" t="s">
        <v>5</v>
      </c>
      <c r="P17" s="48"/>
      <c r="Q17" s="48"/>
    </row>
    <row r="18" spans="1:17" ht="20.100000000000001" customHeight="1">
      <c r="A18" s="9"/>
      <c r="B18" s="17" t="s">
        <v>30</v>
      </c>
      <c r="C18" s="17"/>
      <c r="D18" s="17"/>
      <c r="E18" s="17"/>
      <c r="F18" s="17"/>
      <c r="G18" s="17"/>
      <c r="H18" s="17"/>
      <c r="I18" s="17"/>
      <c r="J18" s="10">
        <v>5</v>
      </c>
      <c r="K18" s="11" t="s">
        <v>8</v>
      </c>
      <c r="L18" s="47">
        <v>1000</v>
      </c>
      <c r="M18" s="47"/>
      <c r="N18" s="47"/>
      <c r="O18" s="44">
        <f>IF(AND(J18&lt;&gt;"",L18&lt;&gt;""),J18*L18,"")</f>
        <v>5000</v>
      </c>
      <c r="P18" s="44"/>
      <c r="Q18" s="44"/>
    </row>
    <row r="19" spans="1:17" ht="20.100000000000001" customHeight="1">
      <c r="A19" s="9"/>
      <c r="B19" s="17" t="s">
        <v>35</v>
      </c>
      <c r="C19" s="17"/>
      <c r="D19" s="17"/>
      <c r="E19" s="17"/>
      <c r="F19" s="17"/>
      <c r="G19" s="17"/>
      <c r="H19" s="17"/>
      <c r="I19" s="17"/>
      <c r="J19" s="10"/>
      <c r="K19" s="11"/>
      <c r="L19" s="35"/>
      <c r="M19" s="36"/>
      <c r="N19" s="37"/>
      <c r="O19" s="44"/>
      <c r="P19" s="44"/>
      <c r="Q19" s="44"/>
    </row>
    <row r="20" spans="1:17" ht="20.100000000000001" customHeight="1">
      <c r="A20" s="9"/>
      <c r="B20" s="17"/>
      <c r="C20" s="17"/>
      <c r="D20" s="17"/>
      <c r="E20" s="17"/>
      <c r="F20" s="17"/>
      <c r="G20" s="17"/>
      <c r="H20" s="17"/>
      <c r="I20" s="17"/>
      <c r="J20" s="10"/>
      <c r="K20" s="11"/>
      <c r="L20" s="35"/>
      <c r="M20" s="36"/>
      <c r="N20" s="37"/>
      <c r="O20" s="44" t="str">
        <f t="shared" ref="O20:O29" si="0">IF(AND(J20&lt;&gt;"",L20&lt;&gt;""),J20*L20,"")</f>
        <v/>
      </c>
      <c r="P20" s="44"/>
      <c r="Q20" s="44"/>
    </row>
    <row r="21" spans="1:17" ht="20.100000000000001" customHeight="1">
      <c r="A21" s="9"/>
      <c r="B21" s="17"/>
      <c r="C21" s="17"/>
      <c r="D21" s="17"/>
      <c r="E21" s="17"/>
      <c r="F21" s="17"/>
      <c r="G21" s="17"/>
      <c r="H21" s="17"/>
      <c r="I21" s="17"/>
      <c r="J21" s="10"/>
      <c r="K21" s="11"/>
      <c r="L21" s="35"/>
      <c r="M21" s="36"/>
      <c r="N21" s="37"/>
      <c r="O21" s="44" t="str">
        <f t="shared" si="0"/>
        <v/>
      </c>
      <c r="P21" s="44"/>
      <c r="Q21" s="44"/>
    </row>
    <row r="22" spans="1:17" ht="20.100000000000001" customHeight="1">
      <c r="A22" s="9"/>
      <c r="B22" s="17"/>
      <c r="C22" s="17"/>
      <c r="D22" s="17"/>
      <c r="E22" s="17"/>
      <c r="F22" s="17"/>
      <c r="G22" s="17"/>
      <c r="H22" s="17"/>
      <c r="I22" s="17"/>
      <c r="J22" s="10"/>
      <c r="K22" s="11"/>
      <c r="L22" s="35"/>
      <c r="M22" s="36"/>
      <c r="N22" s="37"/>
      <c r="O22" s="44" t="str">
        <f t="shared" si="0"/>
        <v/>
      </c>
      <c r="P22" s="44"/>
      <c r="Q22" s="44"/>
    </row>
    <row r="23" spans="1:17" ht="20.100000000000001" customHeight="1">
      <c r="A23" s="9"/>
      <c r="B23" s="17"/>
      <c r="C23" s="17"/>
      <c r="D23" s="17"/>
      <c r="E23" s="17"/>
      <c r="F23" s="17"/>
      <c r="G23" s="17"/>
      <c r="H23" s="17"/>
      <c r="I23" s="17"/>
      <c r="J23" s="10"/>
      <c r="K23" s="11"/>
      <c r="L23" s="35"/>
      <c r="M23" s="36"/>
      <c r="N23" s="37"/>
      <c r="O23" s="44" t="str">
        <f t="shared" si="0"/>
        <v/>
      </c>
      <c r="P23" s="44"/>
      <c r="Q23" s="44"/>
    </row>
    <row r="24" spans="1:17" ht="20.100000000000001" customHeight="1">
      <c r="A24" s="9"/>
      <c r="B24" s="17"/>
      <c r="C24" s="17"/>
      <c r="D24" s="17"/>
      <c r="E24" s="17"/>
      <c r="F24" s="17"/>
      <c r="G24" s="17"/>
      <c r="H24" s="17"/>
      <c r="I24" s="17"/>
      <c r="J24" s="10"/>
      <c r="K24" s="11"/>
      <c r="L24" s="35"/>
      <c r="M24" s="36"/>
      <c r="N24" s="37"/>
      <c r="O24" s="44" t="str">
        <f t="shared" si="0"/>
        <v/>
      </c>
      <c r="P24" s="44"/>
      <c r="Q24" s="44"/>
    </row>
    <row r="25" spans="1:17" ht="20.100000000000001" customHeight="1">
      <c r="A25" s="9"/>
      <c r="B25" s="17"/>
      <c r="C25" s="17"/>
      <c r="D25" s="17"/>
      <c r="E25" s="17"/>
      <c r="F25" s="17"/>
      <c r="G25" s="17"/>
      <c r="H25" s="17"/>
      <c r="I25" s="17"/>
      <c r="J25" s="10"/>
      <c r="K25" s="11"/>
      <c r="L25" s="35"/>
      <c r="M25" s="36"/>
      <c r="N25" s="37"/>
      <c r="O25" s="44" t="str">
        <f t="shared" si="0"/>
        <v/>
      </c>
      <c r="P25" s="44"/>
      <c r="Q25" s="44"/>
    </row>
    <row r="26" spans="1:17" ht="20.100000000000001" customHeight="1">
      <c r="A26" s="9"/>
      <c r="B26" s="17"/>
      <c r="C26" s="17"/>
      <c r="D26" s="17"/>
      <c r="E26" s="17"/>
      <c r="F26" s="17"/>
      <c r="G26" s="17"/>
      <c r="H26" s="17"/>
      <c r="I26" s="17"/>
      <c r="J26" s="10"/>
      <c r="K26" s="11"/>
      <c r="L26" s="35"/>
      <c r="M26" s="36"/>
      <c r="N26" s="37"/>
      <c r="O26" s="44" t="str">
        <f t="shared" si="0"/>
        <v/>
      </c>
      <c r="P26" s="44"/>
      <c r="Q26" s="44"/>
    </row>
    <row r="27" spans="1:17" ht="20.100000000000001" customHeight="1">
      <c r="A27" s="9"/>
      <c r="B27" s="17"/>
      <c r="C27" s="17"/>
      <c r="D27" s="17"/>
      <c r="E27" s="17"/>
      <c r="F27" s="17"/>
      <c r="G27" s="17"/>
      <c r="H27" s="17"/>
      <c r="I27" s="17"/>
      <c r="J27" s="10"/>
      <c r="K27" s="11"/>
      <c r="L27" s="35"/>
      <c r="M27" s="36"/>
      <c r="N27" s="37"/>
      <c r="O27" s="44" t="str">
        <f t="shared" si="0"/>
        <v/>
      </c>
      <c r="P27" s="44"/>
      <c r="Q27" s="44"/>
    </row>
    <row r="28" spans="1:17" ht="20.100000000000001" customHeight="1">
      <c r="A28" s="9"/>
      <c r="B28" s="17"/>
      <c r="C28" s="17"/>
      <c r="D28" s="17"/>
      <c r="E28" s="17"/>
      <c r="F28" s="17"/>
      <c r="G28" s="17"/>
      <c r="H28" s="17"/>
      <c r="I28" s="17"/>
      <c r="J28" s="10"/>
      <c r="K28" s="11"/>
      <c r="L28" s="35"/>
      <c r="M28" s="36"/>
      <c r="N28" s="37"/>
      <c r="O28" s="44" t="str">
        <f t="shared" si="0"/>
        <v/>
      </c>
      <c r="P28" s="44"/>
      <c r="Q28" s="44"/>
    </row>
    <row r="29" spans="1:17" ht="20.100000000000001" customHeight="1">
      <c r="A29" s="9"/>
      <c r="B29" s="17"/>
      <c r="C29" s="17"/>
      <c r="D29" s="17"/>
      <c r="E29" s="17"/>
      <c r="F29" s="17"/>
      <c r="G29" s="17"/>
      <c r="H29" s="17"/>
      <c r="I29" s="17"/>
      <c r="J29" s="10"/>
      <c r="K29" s="11"/>
      <c r="L29" s="35"/>
      <c r="M29" s="36"/>
      <c r="N29" s="37"/>
      <c r="O29" s="44" t="str">
        <f t="shared" si="0"/>
        <v/>
      </c>
      <c r="P29" s="44"/>
      <c r="Q29" s="44"/>
    </row>
    <row r="30" spans="1:17" ht="20.100000000000001" customHeight="1">
      <c r="A30" s="5"/>
      <c r="B30" s="5"/>
      <c r="C30" s="5"/>
      <c r="D30" s="5"/>
      <c r="E30" s="5"/>
      <c r="F30" s="5"/>
      <c r="G30" s="5"/>
      <c r="H30" s="5"/>
      <c r="I30" s="5"/>
      <c r="J30" s="49" t="s">
        <v>14</v>
      </c>
      <c r="K30" s="50"/>
      <c r="L30" s="51">
        <f>SUM(O18:Q29)</f>
        <v>5000</v>
      </c>
      <c r="M30" s="52"/>
      <c r="N30" s="52"/>
      <c r="O30" s="52"/>
      <c r="P30" s="52"/>
      <c r="Q30" s="52"/>
    </row>
    <row r="31" spans="1:17" ht="20.100000000000001" customHeight="1">
      <c r="A31" s="5"/>
      <c r="B31" s="5"/>
      <c r="C31" s="5"/>
      <c r="D31" s="5"/>
      <c r="E31" s="5"/>
      <c r="F31" s="5"/>
      <c r="G31" s="5"/>
      <c r="H31" s="5"/>
      <c r="I31" s="5"/>
      <c r="J31" s="49" t="s">
        <v>15</v>
      </c>
      <c r="K31" s="50"/>
      <c r="L31" s="44">
        <f>L30*$T$6</f>
        <v>500</v>
      </c>
      <c r="M31" s="44"/>
      <c r="N31" s="44"/>
      <c r="O31" s="44"/>
      <c r="P31" s="44"/>
      <c r="Q31" s="44"/>
    </row>
    <row r="32" spans="1:17" ht="20.100000000000001" customHeight="1">
      <c r="A32" s="5"/>
      <c r="B32" s="21"/>
      <c r="C32" s="21"/>
      <c r="D32" s="21"/>
      <c r="E32" s="21"/>
      <c r="F32" s="21"/>
      <c r="G32" s="5"/>
      <c r="H32" s="5"/>
      <c r="I32" s="5"/>
      <c r="J32" s="49" t="s">
        <v>16</v>
      </c>
      <c r="K32" s="50"/>
      <c r="L32" s="60">
        <f>L30+L31</f>
        <v>5500</v>
      </c>
      <c r="M32" s="60"/>
      <c r="N32" s="60"/>
      <c r="O32" s="60"/>
      <c r="P32" s="60"/>
      <c r="Q32" s="60"/>
    </row>
    <row r="33" spans="1:17" ht="20.100000000000001" customHeight="1">
      <c r="A33" s="5"/>
      <c r="B33" s="59"/>
      <c r="C33" s="59"/>
      <c r="D33" s="59"/>
      <c r="E33" s="59"/>
      <c r="F33" s="59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 ht="20.100000000000001" customHeight="1">
      <c r="A34" s="28" t="s">
        <v>17</v>
      </c>
      <c r="B34" s="28"/>
      <c r="C34" s="29" t="s">
        <v>36</v>
      </c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1"/>
    </row>
    <row r="35" spans="1:17" ht="20.100000000000001" customHeight="1">
      <c r="A35" s="28"/>
      <c r="B35" s="28"/>
      <c r="C35" s="32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4"/>
    </row>
    <row r="36" spans="1:17" ht="20.100000000000001" customHeight="1">
      <c r="A36" s="13" t="s">
        <v>29</v>
      </c>
      <c r="B36" s="14"/>
      <c r="C36" s="17" t="s">
        <v>37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</row>
    <row r="37" spans="1:17" ht="20.100000000000001" customHeight="1">
      <c r="A37" s="15"/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</row>
    <row r="38" spans="1:17" ht="20.100000000000001" customHeight="1">
      <c r="A38" s="13"/>
      <c r="B38" s="14"/>
      <c r="C38" s="53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5"/>
    </row>
    <row r="39" spans="1:17" ht="20.100000000000001" customHeight="1">
      <c r="A39" s="15"/>
      <c r="B39" s="16"/>
      <c r="C39" s="56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8"/>
    </row>
    <row r="40" spans="1:17" s="2" customFormat="1" ht="20.100000000000001" customHeight="1">
      <c r="A40" s="3" t="s">
        <v>19</v>
      </c>
    </row>
    <row r="41" spans="1:17" s="2" customFormat="1" ht="20.100000000000001" customHeight="1">
      <c r="A41" s="3" t="s">
        <v>20</v>
      </c>
    </row>
    <row r="42" spans="1:17" s="2" customFormat="1" ht="20.100000000000001" customHeight="1">
      <c r="A42" s="3" t="s">
        <v>21</v>
      </c>
    </row>
  </sheetData>
  <mergeCells count="83">
    <mergeCell ref="K11:Q11"/>
    <mergeCell ref="K10:Q10"/>
    <mergeCell ref="A38:B39"/>
    <mergeCell ref="C38:Q39"/>
    <mergeCell ref="B33:F33"/>
    <mergeCell ref="L32:Q32"/>
    <mergeCell ref="J32:K32"/>
    <mergeCell ref="O28:Q28"/>
    <mergeCell ref="O29:Q29"/>
    <mergeCell ref="B32:F32"/>
    <mergeCell ref="L23:N23"/>
    <mergeCell ref="B25:I25"/>
    <mergeCell ref="B26:I26"/>
    <mergeCell ref="B27:I27"/>
    <mergeCell ref="B28:I28"/>
    <mergeCell ref="B29:I29"/>
    <mergeCell ref="J31:K31"/>
    <mergeCell ref="L30:Q30"/>
    <mergeCell ref="L31:Q31"/>
    <mergeCell ref="O23:Q23"/>
    <mergeCell ref="O24:Q24"/>
    <mergeCell ref="L24:N24"/>
    <mergeCell ref="L29:N29"/>
    <mergeCell ref="L25:N25"/>
    <mergeCell ref="L26:N26"/>
    <mergeCell ref="L27:N27"/>
    <mergeCell ref="L28:N28"/>
    <mergeCell ref="J30:K30"/>
    <mergeCell ref="O25:Q25"/>
    <mergeCell ref="O20:Q20"/>
    <mergeCell ref="B21:I21"/>
    <mergeCell ref="O21:Q21"/>
    <mergeCell ref="B23:I23"/>
    <mergeCell ref="B24:I24"/>
    <mergeCell ref="O22:Q22"/>
    <mergeCell ref="A6:B6"/>
    <mergeCell ref="C6:I6"/>
    <mergeCell ref="B7:J7"/>
    <mergeCell ref="B17:I17"/>
    <mergeCell ref="J17:K17"/>
    <mergeCell ref="K9:Q9"/>
    <mergeCell ref="A10:B10"/>
    <mergeCell ref="C10:I10"/>
    <mergeCell ref="A11:B11"/>
    <mergeCell ref="C11:I11"/>
    <mergeCell ref="A12:B12"/>
    <mergeCell ref="C12:I12"/>
    <mergeCell ref="A15:C15"/>
    <mergeCell ref="J15:L15"/>
    <mergeCell ref="M15:Q15"/>
    <mergeCell ref="O17:Q17"/>
    <mergeCell ref="L17:N17"/>
    <mergeCell ref="A34:B35"/>
    <mergeCell ref="C34:Q35"/>
    <mergeCell ref="L19:N19"/>
    <mergeCell ref="L20:N20"/>
    <mergeCell ref="L21:N21"/>
    <mergeCell ref="O26:Q26"/>
    <mergeCell ref="O27:Q27"/>
    <mergeCell ref="B22:I22"/>
    <mergeCell ref="L22:N22"/>
    <mergeCell ref="O18:Q18"/>
    <mergeCell ref="L18:N18"/>
    <mergeCell ref="B18:I18"/>
    <mergeCell ref="B19:I19"/>
    <mergeCell ref="B20:I20"/>
    <mergeCell ref="O19:Q19"/>
    <mergeCell ref="A36:B37"/>
    <mergeCell ref="C36:Q37"/>
    <mergeCell ref="A1:Q1"/>
    <mergeCell ref="A3:G3"/>
    <mergeCell ref="H3:I3"/>
    <mergeCell ref="L3:M3"/>
    <mergeCell ref="L4:M4"/>
    <mergeCell ref="K8:Q8"/>
    <mergeCell ref="N3:Q3"/>
    <mergeCell ref="N4:Q4"/>
    <mergeCell ref="B4:C4"/>
    <mergeCell ref="D4:F4"/>
    <mergeCell ref="K6:Q6"/>
    <mergeCell ref="K7:Q7"/>
    <mergeCell ref="D15:G15"/>
    <mergeCell ref="H15:I15"/>
  </mergeCells>
  <phoneticPr fontId="1"/>
  <dataValidations count="1">
    <dataValidation type="list" allowBlank="1" showInputMessage="1" showErrorMessage="1" sqref="K18:K29">
      <formula1>$S$6:$S$10</formula1>
    </dataValidation>
  </dataValidations>
  <hyperlinks>
    <hyperlink ref="A41" r:id="rId1"/>
    <hyperlink ref="A42" r:id="rId2"/>
    <hyperlink ref="A40" r:id="rId3"/>
  </hyperlink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4"/>
  <drawing r:id="rId5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見積書</vt:lpstr>
      <vt:lpstr>見積書!Print_Area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2016-01-22T04:05:00Z</cp:lastPrinted>
  <dcterms:created xsi:type="dcterms:W3CDTF">2015-12-21T00:50:44Z</dcterms:created>
  <dcterms:modified xsi:type="dcterms:W3CDTF">2022-03-22T16:04:11Z</dcterms:modified>
</cp:coreProperties>
</file>