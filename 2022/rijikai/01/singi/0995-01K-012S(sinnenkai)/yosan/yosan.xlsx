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012S(sinnenkai)\yosan\"/>
    </mc:Choice>
  </mc:AlternateContent>
  <xr:revisionPtr revIDLastSave="0" documentId="13_ncr:1_{ACFF3920-A876-4E82-8AEC-B7D102F02F9F}" xr6:coauthVersionLast="47" xr6:coauthVersionMax="47" xr10:uidLastSave="{00000000-0000-0000-0000-000000000000}"/>
  <bookViews>
    <workbookView xWindow="-110" yWindow="-110" windowWidth="19420" windowHeight="10420" tabRatio="874" activeTab="4" xr2:uid="{00000000-000D-0000-FFFF-FFFF00000000}"/>
  </bookViews>
  <sheets>
    <sheet name="財審様式" sheetId="1" r:id="rId1"/>
    <sheet name="委員会年間事業予算管理表(様式1)" sheetId="2" r:id="rId2"/>
    <sheet name="収支予算書(様式3)" sheetId="3" r:id="rId3"/>
    <sheet name="収益・費用明細書(様式4)" sheetId="4" r:id="rId4"/>
    <sheet name="見積企業一覧表(様式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C31" i="3"/>
  <c r="C14" i="3"/>
  <c r="G7" i="4"/>
  <c r="G6" i="4"/>
  <c r="G23" i="4"/>
  <c r="E32" i="3"/>
  <c r="D16" i="3"/>
  <c r="E16" i="3"/>
  <c r="C16" i="3"/>
  <c r="N18" i="2"/>
  <c r="N17" i="2"/>
  <c r="D10" i="5"/>
  <c r="C19" i="3"/>
  <c r="G25" i="4"/>
  <c r="C29" i="3"/>
  <c r="G15" i="4"/>
  <c r="C18" i="3" s="1"/>
  <c r="G26" i="4" l="1"/>
  <c r="F24" i="4" s="1"/>
  <c r="C32" i="3" l="1"/>
</calcChain>
</file>

<file path=xl/sharedStrings.xml><?xml version="1.0" encoding="utf-8"?>
<sst xmlns="http://schemas.openxmlformats.org/spreadsheetml/2006/main" count="544" uniqueCount="239">
  <si>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</si>
  <si>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</si>
  <si>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</si>
  <si>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</si>
  <si>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</si>
  <si>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</si>
  <si>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</si>
  <si>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</si>
  <si>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</si>
  <si>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</si>
  <si>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</si>
  <si>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</si>
  <si>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</si>
  <si>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</si>
  <si>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</si>
  <si>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</si>
  <si>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</si>
  <si>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</si>
  <si>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</si>
  <si>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</si>
  <si>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</si>
  <si>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</si>
  <si>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</si>
  <si>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</si>
  <si>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</si>
  <si>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</si>
  <si>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</si>
  <si>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</si>
  <si>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</si>
  <si>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</si>
  <si>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</si>
  <si>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</si>
  <si>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</si>
  <si>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</si>
  <si>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</si>
  <si>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</si>
  <si>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</si>
  <si>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</si>
  <si>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</si>
  <si>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</si>
  <si>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</si>
  <si>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</si>
  <si>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</si>
  <si>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</si>
  <si>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</si>
  <si>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</si>
  <si>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</si>
  <si>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</si>
  <si>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</si>
  <si>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</si>
  <si>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</si>
  <si>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</si>
  <si>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</si>
  <si>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</si>
  <si>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</si>
  <si>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</si>
  <si>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</si>
  <si>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</si>
  <si>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</si>
  <si>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</si>
  <si>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</si>
  <si>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</si>
  <si>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</si>
  <si>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</si>
  <si>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</si>
  <si>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</si>
  <si>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</si>
  <si>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</si>
  <si>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</si>
  <si>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</si>
  <si>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</si>
  <si>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</si>
  <si>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</si>
  <si>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</si>
  <si>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</si>
  <si>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</si>
  <si>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</si>
  <si>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</si>
  <si>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</si>
  <si>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</si>
  <si>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</si>
  <si>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</si>
  <si>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</si>
  <si>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</si>
  <si>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</si>
  <si>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</si>
  <si>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</si>
  <si>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</si>
  <si>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</si>
  <si>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</si>
  <si>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</si>
  <si>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</si>
  <si>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</si>
  <si>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</si>
  <si>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</si>
  <si>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</si>
  <si>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</si>
  <si>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</si>
  <si>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</si>
  <si>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</si>
  <si>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</si>
  <si>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</si>
  <si>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</si>
  <si>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</si>
  <si>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</si>
  <si>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</si>
  <si>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</si>
  <si>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</si>
  <si>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</si>
  <si>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</si>
  <si>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</si>
  <si>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</si>
  <si>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</si>
  <si>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</si>
  <si>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</si>
  <si>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</si>
  <si>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</si>
  <si>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</si>
  <si>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</si>
  <si>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</si>
  <si>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</si>
  <si>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</si>
  <si>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</si>
  <si>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</si>
  <si>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</si>
  <si>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</si>
  <si>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</si>
  <si>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</si>
  <si>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</si>
  <si>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</si>
  <si>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</si>
  <si>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</si>
  <si>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</si>
  <si>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</si>
  <si>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</si>
  <si>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</si>
  <si>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</si>
  <si>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</si>
  <si>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事業名称：２０２２年度新年会</t>
    <rPh sb="0" eb="2">
      <t>ジギョウ</t>
    </rPh>
    <rPh sb="2" eb="4">
      <t>メイショウ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</si>
  <si>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</si>
  <si>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</si>
  <si>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</si>
  <si>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</si>
  <si>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</si>
  <si>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</si>
  <si>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</si>
  <si>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</si>
  <si>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</si>
  <si>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</si>
  <si>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</si>
  <si>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</si>
  <si>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</si>
  <si>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</si>
  <si>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</si>
  <si>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委員会事業費より</t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</si>
  <si>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</si>
  <si>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</si>
  <si>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</si>
  <si>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</si>
  <si>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</si>
  <si>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</si>
  <si>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</si>
  <si>
    <t>企画・演出費</t>
    <rPh sb="0" eb="2">
      <t>キカク</t>
    </rPh>
    <rPh sb="3" eb="5">
      <t>エンシュツ</t>
    </rPh>
    <rPh sb="5" eb="6">
      <t>ヒ</t>
    </rPh>
    <phoneticPr fontId="18"/>
  </si>
  <si>
    <t>ミュージカル、横断幕等</t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</si>
  <si>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</si>
  <si>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</si>
  <si>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</si>
  <si>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</si>
  <si>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</si>
  <si>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</si>
  <si>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</si>
  <si>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</si>
  <si>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</si>
  <si>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</si>
  <si>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案内状印刷等</t>
  </si>
  <si>
    <t>雑費</t>
    <rPh sb="0" eb="2">
      <t>ザッピ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</si>
  <si>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</si>
  <si>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</si>
  <si>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</si>
  <si>
    <t>[様式4]</t>
    <rPh sb="1" eb="3">
      <t>ヨウシキ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</si>
  <si>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</si>
  <si>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</si>
  <si>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</si>
  <si>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</si>
  <si>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金　　　額</t>
    <rPh sb="0" eb="1">
      <t>キン</t>
    </rPh>
    <rPh sb="4" eb="5">
      <t>ガク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</si>
  <si>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</si>
  <si>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</si>
  <si>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</si>
  <si>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</si>
  <si>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</si>
  <si>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</si>
  <si>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</si>
  <si>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</si>
  <si>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</si>
  <si>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</si>
  <si>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</si>
  <si>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横断幕、スクリーン</t>
    <rPh sb="0" eb="3">
      <t>オウダンマク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</si>
  <si>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</si>
  <si>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</si>
  <si>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</si>
  <si>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</si>
  <si>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</si>
  <si>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</si>
  <si>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</si>
  <si>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</si>
  <si>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</si>
  <si>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</si>
  <si>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</si>
  <si>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</si>
  <si>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</si>
  <si>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</si>
  <si>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</si>
  <si>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ティーンズミュージカルＳＡＧＡ</t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</si>
  <si>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</si>
  <si>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</si>
  <si>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</si>
  <si>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</si>
  <si>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</si>
  <si>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</si>
  <si>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</si>
  <si>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</si>
  <si>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</si>
  <si>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</si>
  <si>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</si>
  <si>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</si>
  <si>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</si>
  <si>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</si>
  <si>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</si>
  <si>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</si>
  <si>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お礼状一式（封筒含む）　５５枚</t>
    <rPh sb="3" eb="5">
      <t>イッシキ</t>
    </rPh>
    <rPh sb="6" eb="9">
      <t>フウトウフク</t>
    </rPh>
    <phoneticPr fontId="18"/>
  </si>
  <si>
    <t>ver.3</t>
    <phoneticPr fontId="18"/>
  </si>
  <si>
    <t xml:space="preserve">26,328	</t>
    <phoneticPr fontId="18"/>
  </si>
  <si>
    <t xml:space="preserve">12,100	</t>
    <phoneticPr fontId="18"/>
  </si>
  <si>
    <t>案内状一式（返信ハガキ・封筒含む）　５５枚</t>
    <rPh sb="0" eb="3">
      <t>アンナイジョウ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</si>
  <si>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案内状切手料　９４円×５１枚
返信ハガキ切手料　６３円×５１枚</t>
    <rPh sb="0" eb="3">
      <t>アンナイジョウ</t>
    </rPh>
    <rPh sb="3" eb="6">
      <t>キッテリョウ</t>
    </rPh>
    <rPh sb="9" eb="10">
      <t>エン</t>
    </rPh>
    <rPh sb="13" eb="14">
      <t>マイ</t>
    </rPh>
    <rPh sb="15" eb="17">
      <t>ヘンシン</t>
    </rPh>
    <rPh sb="20" eb="22">
      <t>キッテ</t>
    </rPh>
    <rPh sb="22" eb="23">
      <t>リョウ</t>
    </rPh>
    <rPh sb="26" eb="27">
      <t>エン</t>
    </rPh>
    <rPh sb="30" eb="31">
      <t>マイ</t>
    </rPh>
    <phoneticPr fontId="18"/>
  </si>
  <si>
    <t>お礼状切手料　５５名×６３円</t>
    <rPh sb="1" eb="3">
      <t>レイジョウ</t>
    </rPh>
    <rPh sb="3" eb="6">
      <t>キッテリョウ</t>
    </rPh>
    <rPh sb="9" eb="10">
      <t>メイ</t>
    </rPh>
    <rPh sb="13" eb="14">
      <t>エン</t>
    </rPh>
    <phoneticPr fontId="18"/>
  </si>
  <si>
    <t>ローソン</t>
    <phoneticPr fontId="18"/>
  </si>
  <si>
    <t>会場費・通信費等</t>
    <rPh sb="0" eb="2">
      <t>カイジョウ</t>
    </rPh>
    <rPh sb="2" eb="3">
      <t>ヒ</t>
    </rPh>
    <rPh sb="4" eb="7">
      <t>ツウシンヒ</t>
    </rPh>
    <rPh sb="7" eb="8">
      <t>トウ</t>
    </rPh>
    <phoneticPr fontId="18"/>
  </si>
  <si>
    <t>通信費</t>
    <rPh sb="0" eb="3">
      <t>ツウシンヒ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</si>
</sst>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3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</cellStyleXfs>
  <cellXfs count="239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19" fillId="0" borderId="0" xfId="46" applyFill="1" applyAlignment="1">
      <alignment vertical="center"/>
    </xf>
    <xf numFmtId="0" fontId="0" fillId="0" borderId="0" xfId="46" applyFont="1" applyFill="1"/>
    <xf numFmtId="0" fontId="0" fillId="0" borderId="0" xfId="46" applyFont="1" applyFill="1" applyAlignment="1">
      <alignment vertical="center"/>
    </xf>
    <xf numFmtId="0" fontId="0" fillId="0" borderId="0" xfId="46" applyFont="1" applyFill="1" applyAlignment="1">
      <alignment horizontal="right" vertical="center"/>
    </xf>
    <xf numFmtId="0" fontId="31" fillId="0" borderId="0" xfId="46" applyFont="1" applyBorder="1" applyAlignment="1">
      <alignment vertical="center"/>
    </xf>
    <xf numFmtId="0" fontId="31" fillId="0" borderId="0" xfId="46" applyFont="1" applyFill="1" applyAlignment="1">
      <alignment vertical="center"/>
    </xf>
    <xf numFmtId="0" fontId="0" fillId="0" borderId="10" xfId="46" applyFont="1" applyFill="1" applyBorder="1" applyAlignment="1">
      <alignment vertical="center"/>
    </xf>
    <xf numFmtId="0" fontId="0" fillId="0" borderId="16" xfId="46" applyFont="1" applyFill="1" applyBorder="1" applyAlignment="1">
      <alignment horizontal="center" vertical="center"/>
    </xf>
    <xf numFmtId="0" fontId="0" fillId="0" borderId="34" xfId="46" applyFont="1" applyFill="1" applyBorder="1" applyAlignment="1">
      <alignment vertical="center"/>
    </xf>
    <xf numFmtId="0" fontId="0" fillId="0" borderId="15" xfId="46" applyFont="1" applyFill="1" applyBorder="1" applyAlignment="1">
      <alignment horizontal="distributed" vertical="center"/>
    </xf>
    <xf numFmtId="0" fontId="0" fillId="0" borderId="15" xfId="46" applyFont="1" applyFill="1" applyBorder="1" applyAlignment="1">
      <alignment vertical="center"/>
    </xf>
    <xf numFmtId="0" fontId="0" fillId="0" borderId="24" xfId="46" applyFont="1" applyFill="1" applyBorder="1" applyAlignment="1">
      <alignment vertical="center"/>
    </xf>
    <xf numFmtId="0" fontId="0" fillId="0" borderId="20" xfId="46" applyFont="1" applyFill="1" applyBorder="1" applyAlignment="1">
      <alignment horizontal="center" vertical="center"/>
    </xf>
    <xf numFmtId="0" fontId="0" fillId="0" borderId="17" xfId="46" applyFont="1" applyFill="1" applyBorder="1" applyAlignment="1">
      <alignment horizontal="distributed" vertical="center"/>
    </xf>
    <xf numFmtId="179" fontId="0" fillId="0" borderId="17" xfId="46" applyNumberFormat="1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12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distributed" vertical="center"/>
    </xf>
    <xf numFmtId="179" fontId="0" fillId="0" borderId="18" xfId="46" applyNumberFormat="1" applyFont="1" applyFill="1" applyBorder="1" applyAlignment="1">
      <alignment vertical="center"/>
    </xf>
    <xf numFmtId="0" fontId="0" fillId="0" borderId="18" xfId="46" applyFont="1" applyFill="1" applyBorder="1" applyAlignment="1">
      <alignment vertical="center"/>
    </xf>
    <xf numFmtId="0" fontId="0" fillId="0" borderId="34" xfId="46" applyFont="1" applyFill="1" applyBorder="1" applyAlignment="1">
      <alignment horizontal="center" vertical="center"/>
    </xf>
    <xf numFmtId="179" fontId="0" fillId="0" borderId="15" xfId="46" applyNumberFormat="1" applyFont="1" applyFill="1" applyBorder="1" applyAlignment="1">
      <alignment vertical="center"/>
    </xf>
    <xf numFmtId="176" fontId="0" fillId="0" borderId="17" xfId="46" applyNumberFormat="1" applyFont="1" applyFill="1" applyBorder="1" applyAlignment="1">
      <alignment horizontal="right" vertical="center"/>
    </xf>
    <xf numFmtId="0" fontId="0" fillId="0" borderId="17" xfId="46" applyFont="1" applyFill="1" applyBorder="1" applyAlignment="1">
      <alignment vertical="center" shrinkToFit="1"/>
    </xf>
    <xf numFmtId="10" fontId="0" fillId="0" borderId="17" xfId="46" applyNumberFormat="1" applyFont="1" applyFill="1" applyBorder="1" applyAlignment="1">
      <alignment vertical="center"/>
    </xf>
    <xf numFmtId="0" fontId="0" fillId="0" borderId="20" xfId="46" applyFont="1" applyFill="1" applyBorder="1" applyAlignment="1">
      <alignment vertical="center"/>
    </xf>
    <xf numFmtId="0" fontId="0" fillId="0" borderId="0" xfId="46" applyFont="1" applyFill="1" applyAlignment="1">
      <alignment horizontal="justify" vertical="center"/>
    </xf>
    <xf numFmtId="0" fontId="0" fillId="0" borderId="0" xfId="46" applyFont="1" applyFill="1" applyAlignment="1">
      <alignment horizontal="center" vertical="center"/>
    </xf>
    <xf numFmtId="0" fontId="0" fillId="0" borderId="24" xfId="46" applyFont="1" applyFill="1" applyBorder="1" applyAlignment="1">
      <alignment horizontal="center" vertical="center"/>
    </xf>
    <xf numFmtId="0" fontId="0" fillId="0" borderId="20" xfId="46" applyFont="1" applyFill="1" applyBorder="1" applyAlignment="1">
      <alignment horizontal="right" vertical="center"/>
    </xf>
    <xf numFmtId="0" fontId="0" fillId="0" borderId="21" xfId="46" applyFont="1" applyFill="1" applyBorder="1" applyAlignment="1">
      <alignment horizontal="center" vertical="center"/>
    </xf>
    <xf numFmtId="0" fontId="0" fillId="0" borderId="21" xfId="46" applyFont="1" applyFill="1" applyBorder="1" applyAlignment="1">
      <alignment vertical="center"/>
    </xf>
    <xf numFmtId="179" fontId="0" fillId="0" borderId="17" xfId="1" applyNumberFormat="1" applyFont="1" applyFill="1" applyBorder="1" applyAlignment="1">
      <alignment vertical="center"/>
    </xf>
    <xf numFmtId="0" fontId="0" fillId="0" borderId="12" xfId="46" applyFont="1" applyFill="1" applyBorder="1" applyAlignment="1">
      <alignment horizontal="right" vertical="center"/>
    </xf>
    <xf numFmtId="0" fontId="20" fillId="0" borderId="41" xfId="43" applyFill="1" applyBorder="1" applyAlignment="1">
      <alignment horizontal="center" vertical="center"/>
    </xf>
    <xf numFmtId="0" fontId="0" fillId="0" borderId="17" xfId="46" applyFont="1" applyFill="1" applyBorder="1" applyAlignment="1">
      <alignment horizontal="center" vertical="center"/>
    </xf>
    <xf numFmtId="0" fontId="0" fillId="0" borderId="12" xfId="46" applyFont="1" applyFill="1" applyBorder="1" applyAlignment="1">
      <alignment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0" fontId="0" fillId="0" borderId="0" xfId="46" applyFont="1" applyFill="1" applyBorder="1" applyAlignment="1">
      <alignment horizontal="center" vertical="center"/>
    </xf>
    <xf numFmtId="0" fontId="0" fillId="0" borderId="0" xfId="46" applyFont="1" applyFill="1" applyBorder="1" applyAlignment="1">
      <alignment vertical="center"/>
    </xf>
    <xf numFmtId="179" fontId="0" fillId="0" borderId="23" xfId="46" applyNumberFormat="1" applyFont="1" applyFill="1" applyBorder="1" applyAlignment="1">
      <alignment vertical="center"/>
    </xf>
    <xf numFmtId="0" fontId="0" fillId="0" borderId="23" xfId="46" applyFont="1" applyFill="1" applyBorder="1" applyAlignment="1">
      <alignment horizontal="center" vertical="center"/>
    </xf>
    <xf numFmtId="0" fontId="20" fillId="0" borderId="23" xfId="43" applyBorder="1" applyAlignment="1">
      <alignment horizontal="center" vertical="center"/>
    </xf>
    <xf numFmtId="0" fontId="20" fillId="0" borderId="23" xfId="43" applyFill="1" applyBorder="1" applyAlignment="1">
      <alignment horizontal="center" vertical="center"/>
    </xf>
    <xf numFmtId="179" fontId="0" fillId="0" borderId="17" xfId="46" applyNumberFormat="1" applyFont="1" applyFill="1" applyBorder="1" applyAlignment="1">
      <alignment horizontal="right" vertical="center"/>
    </xf>
    <xf numFmtId="179" fontId="0" fillId="0" borderId="18" xfId="46" applyNumberFormat="1" applyFont="1" applyFill="1" applyBorder="1" applyAlignment="1">
      <alignment horizontal="right" vertical="center"/>
    </xf>
    <xf numFmtId="31" fontId="0" fillId="0" borderId="52" xfId="46" applyNumberFormat="1" applyFont="1" applyFill="1" applyBorder="1" applyAlignment="1">
      <alignment horizontal="right"/>
    </xf>
    <xf numFmtId="0" fontId="0" fillId="0" borderId="17" xfId="46" applyFont="1" applyFill="1" applyBorder="1" applyAlignment="1">
      <alignment vertical="center" wrapText="1"/>
    </xf>
    <xf numFmtId="31" fontId="0" fillId="0" borderId="24" xfId="46" applyNumberFormat="1" applyFont="1" applyFill="1" applyBorder="1" applyAlignment="1">
      <alignment horizontal="right"/>
    </xf>
    <xf numFmtId="31" fontId="0" fillId="0" borderId="17" xfId="46" applyNumberFormat="1" applyFont="1" applyFill="1" applyBorder="1" applyAlignment="1">
      <alignment horizontal="right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31" fillId="0" borderId="21" xfId="46" applyFont="1" applyBorder="1" applyAlignment="1">
      <alignment horizontal="left"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14" xfId="46" applyFont="1" applyBorder="1" applyAlignment="1">
      <alignment horizontal="center" vertical="center"/>
    </xf>
    <xf numFmtId="0" fontId="0" fillId="0" borderId="0" xfId="46" applyFont="1" applyBorder="1" applyAlignment="1">
      <alignment horizontal="right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left" vertical="center"/>
    </xf>
    <xf numFmtId="0" fontId="0" fillId="0" borderId="26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1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</cellXfs>
  <cellStyles count="47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itsumori/gurandehagakure_heyadai.pdf" TargetMode="External"/><Relationship Id="rId7" Type="http://schemas.openxmlformats.org/officeDocument/2006/relationships/hyperlink" Target="mitsumori/kitte_ryousyuusyo.pdf" TargetMode="External"/><Relationship Id="rId2" Type="http://schemas.openxmlformats.org/officeDocument/2006/relationships/hyperlink" Target="mitsumori/gurandehagakure_heyadai.pdf" TargetMode="External"/><Relationship Id="rId1" Type="http://schemas.openxmlformats.org/officeDocument/2006/relationships/hyperlink" Target="mitsumori/gurandehagakure_heyadai.pdf" TargetMode="External"/><Relationship Id="rId6" Type="http://schemas.openxmlformats.org/officeDocument/2006/relationships/hyperlink" Target="mitsumori/teensmyujikaru_mitumori.PDF" TargetMode="External"/><Relationship Id="rId5" Type="http://schemas.openxmlformats.org/officeDocument/2006/relationships/hyperlink" Target="mitsumori/gurandehagakure_heyadai.pdf" TargetMode="External"/><Relationship Id="rId4" Type="http://schemas.openxmlformats.org/officeDocument/2006/relationships/hyperlink" Target="mitsumori/gurandehagakure_heyadai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/gurandehagakure_heyadai.pdf" TargetMode="External"/><Relationship Id="rId2" Type="http://schemas.openxmlformats.org/officeDocument/2006/relationships/hyperlink" Target="mitsumori/teensmyujikaru_mitumori.PDF" TargetMode="External"/><Relationship Id="rId1" Type="http://schemas.openxmlformats.org/officeDocument/2006/relationships/hyperlink" Target="mitsumori/kitte_ryousyuusyo.pdf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itsumori/teensmyujikaru_mitumori.PDF" TargetMode="External"/><Relationship Id="rId4" Type="http://schemas.openxmlformats.org/officeDocument/2006/relationships/hyperlink" Target="mitsumori/gurandehagakure_heyada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workbookViewId="0">
      <selection sqref="A1:M1"/>
    </sheetView>
  </sheetViews>
  <sheetFormatPr defaultRowHeight="13" x14ac:dyDescent="0.2"/>
  <cols>
    <col min="1" max="1" width="5.6328125" customWidth="1"/>
    <col min="2" max="2" width="23.36328125" customWidth="1"/>
    <col min="3" max="12" width="3.08984375" customWidth="1"/>
    <col min="13" max="13" width="39.453125" customWidth="1"/>
    <col min="14" max="14" width="9.453125"/>
    <col min="15" max="15" width="3.453125" customWidth="1"/>
    <col min="16" max="17" width="9.453125"/>
    <col min="18" max="18" width="2.08984375" customWidth="1"/>
  </cols>
  <sheetData>
    <row r="1" spans="1:26" ht="33.75" customHeight="1" x14ac:dyDescent="0.2">
      <c r="A1" s="195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196" t="s">
        <v>5</v>
      </c>
      <c r="B4" s="197"/>
      <c r="C4" s="200" t="s">
        <v>6</v>
      </c>
      <c r="D4" s="201"/>
      <c r="E4" s="200" t="s">
        <v>7</v>
      </c>
      <c r="F4" s="201"/>
      <c r="G4" s="200" t="s">
        <v>8</v>
      </c>
      <c r="H4" s="201"/>
      <c r="I4" s="200" t="s">
        <v>9</v>
      </c>
      <c r="J4" s="201"/>
      <c r="K4" s="200" t="s">
        <v>10</v>
      </c>
      <c r="L4" s="201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198"/>
      <c r="B5" s="199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" customHeight="1" x14ac:dyDescent="0.2">
      <c r="A24" s="189" t="s">
        <v>60</v>
      </c>
      <c r="B24" s="19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189" t="s">
        <v>70</v>
      </c>
      <c r="B29" s="19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189" t="s">
        <v>82</v>
      </c>
      <c r="B35" s="190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91" t="s">
        <v>89</v>
      </c>
      <c r="B39" s="19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" x14ac:dyDescent="0.2">
      <c r="A44" s="50" t="s">
        <v>102</v>
      </c>
      <c r="B44" s="51" t="s">
        <v>103</v>
      </c>
      <c r="C44" s="193" t="s">
        <v>104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4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89" t="s">
        <v>105</v>
      </c>
      <c r="B46" s="190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187" t="s">
        <v>108</v>
      </c>
      <c r="B49" s="188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C44:M44"/>
    <mergeCell ref="A46:B46"/>
    <mergeCell ref="A1:M1"/>
    <mergeCell ref="A4:B5"/>
    <mergeCell ref="C4:D4"/>
    <mergeCell ref="E4:F4"/>
    <mergeCell ref="G4:H4"/>
    <mergeCell ref="I4:J4"/>
    <mergeCell ref="K4:L4"/>
    <mergeCell ref="A49:B49"/>
    <mergeCell ref="A24:B24"/>
    <mergeCell ref="A29:B29"/>
    <mergeCell ref="A35:B35"/>
    <mergeCell ref="A39:B39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topLeftCell="A13" workbookViewId="0">
      <selection activeCell="K22" sqref="K22"/>
    </sheetView>
  </sheetViews>
  <sheetFormatPr defaultColWidth="8.7265625" defaultRowHeight="13" x14ac:dyDescent="0.2"/>
  <cols>
    <col min="1" max="1" width="1.90625" style="64" customWidth="1"/>
    <col min="2" max="2" width="6.90625" style="64" customWidth="1"/>
    <col min="3" max="3" width="5.90625" style="64" customWidth="1"/>
    <col min="4" max="4" width="4.81640625" style="64" bestFit="1" customWidth="1"/>
    <col min="5" max="5" width="3.6328125" style="64" customWidth="1"/>
    <col min="6" max="6" width="6.08984375" style="64" customWidth="1"/>
    <col min="7" max="7" width="3.6328125" style="64" customWidth="1"/>
    <col min="8" max="8" width="5.453125" style="64" customWidth="1"/>
    <col min="9" max="9" width="3.6328125" style="64" customWidth="1"/>
    <col min="10" max="10" width="5.6328125" style="64" customWidth="1"/>
    <col min="11" max="11" width="49" style="64" customWidth="1"/>
    <col min="12" max="12" width="22" style="64" customWidth="1"/>
    <col min="13" max="13" width="20.08984375" style="64" customWidth="1"/>
    <col min="14" max="14" width="25.453125" style="64" customWidth="1"/>
    <col min="15" max="15" width="2" style="64" customWidth="1"/>
    <col min="16" max="20" width="3.6328125" style="64" customWidth="1"/>
    <col min="21" max="16384" width="8.726562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44537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230</v>
      </c>
    </row>
    <row r="4" spans="1:14" ht="15" customHeight="1" x14ac:dyDescent="0.2">
      <c r="A4" s="65"/>
      <c r="B4" s="208" t="s">
        <v>115</v>
      </c>
      <c r="C4" s="208"/>
      <c r="D4" s="208"/>
      <c r="E4" s="208"/>
      <c r="F4" s="208"/>
      <c r="G4" s="208"/>
      <c r="H4" s="208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116</v>
      </c>
      <c r="C7" s="69"/>
      <c r="D7" s="69"/>
      <c r="E7" s="69"/>
      <c r="F7" s="69"/>
      <c r="G7" s="69"/>
      <c r="H7" s="69"/>
      <c r="I7" s="69"/>
      <c r="J7" s="69" t="s">
        <v>117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08" t="s">
        <v>115</v>
      </c>
      <c r="N8" s="208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08" t="s">
        <v>118</v>
      </c>
      <c r="N9" s="208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119</v>
      </c>
      <c r="N10" s="66" t="s">
        <v>120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209" t="s">
        <v>121</v>
      </c>
      <c r="K12" s="209"/>
      <c r="L12" s="209"/>
      <c r="M12" s="70"/>
      <c r="N12" s="71"/>
    </row>
    <row r="13" spans="1:14" ht="31.5" customHeight="1" thickBot="1" x14ac:dyDescent="0.25">
      <c r="A13" s="65"/>
      <c r="B13" s="209" t="s">
        <v>122</v>
      </c>
      <c r="C13" s="209"/>
      <c r="D13" s="209"/>
      <c r="E13" s="209"/>
      <c r="F13" s="209"/>
      <c r="G13" s="209"/>
      <c r="H13" s="209"/>
      <c r="I13" s="210"/>
      <c r="J13" s="72" t="s">
        <v>123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209" t="s">
        <v>124</v>
      </c>
      <c r="C14" s="209"/>
      <c r="D14" s="209"/>
      <c r="E14" s="209"/>
      <c r="F14" s="209"/>
      <c r="G14" s="209"/>
      <c r="H14" s="209"/>
      <c r="I14" s="211"/>
      <c r="J14" s="77" t="s">
        <v>123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212" t="s">
        <v>125</v>
      </c>
      <c r="K15" s="212"/>
      <c r="L15" s="65"/>
      <c r="M15" s="65"/>
      <c r="N15" s="65"/>
    </row>
    <row r="16" spans="1:14" ht="42.75" customHeight="1" thickTop="1" x14ac:dyDescent="0.2">
      <c r="A16" s="65"/>
      <c r="B16" s="202" t="s">
        <v>126</v>
      </c>
      <c r="C16" s="203"/>
      <c r="D16" s="203"/>
      <c r="E16" s="204"/>
      <c r="F16" s="213" t="s">
        <v>127</v>
      </c>
      <c r="G16" s="214"/>
      <c r="H16" s="214"/>
      <c r="I16" s="215"/>
      <c r="J16" s="216" t="s">
        <v>128</v>
      </c>
      <c r="K16" s="217"/>
      <c r="L16" s="79" t="s">
        <v>129</v>
      </c>
      <c r="M16" s="80" t="s">
        <v>130</v>
      </c>
      <c r="N16" s="81" t="s">
        <v>131</v>
      </c>
    </row>
    <row r="17" spans="1:14" ht="30" customHeight="1" x14ac:dyDescent="0.2">
      <c r="A17" s="65"/>
      <c r="B17" s="82">
        <v>1</v>
      </c>
      <c r="C17" s="83" t="s">
        <v>132</v>
      </c>
      <c r="D17" s="84">
        <v>17</v>
      </c>
      <c r="E17" s="85" t="s">
        <v>133</v>
      </c>
      <c r="F17" s="86">
        <v>1</v>
      </c>
      <c r="G17" s="83" t="s">
        <v>132</v>
      </c>
      <c r="H17" s="84">
        <v>17</v>
      </c>
      <c r="I17" s="85" t="s">
        <v>133</v>
      </c>
      <c r="J17" s="218" t="s">
        <v>134</v>
      </c>
      <c r="K17" s="219"/>
      <c r="L17" s="87">
        <v>144000</v>
      </c>
      <c r="M17" s="88"/>
      <c r="N17" s="89">
        <f>$L$17</f>
        <v>144000</v>
      </c>
    </row>
    <row r="18" spans="1:14" ht="30" customHeight="1" thickBot="1" x14ac:dyDescent="0.25">
      <c r="A18" s="65"/>
      <c r="B18" s="202"/>
      <c r="C18" s="203"/>
      <c r="D18" s="203"/>
      <c r="E18" s="204"/>
      <c r="F18" s="205" t="s">
        <v>135</v>
      </c>
      <c r="G18" s="203"/>
      <c r="H18" s="203"/>
      <c r="I18" s="204"/>
      <c r="J18" s="206"/>
      <c r="K18" s="207"/>
      <c r="L18" s="90">
        <v>144000</v>
      </c>
      <c r="M18" s="88">
        <v>0</v>
      </c>
      <c r="N18" s="89">
        <f>$L$17</f>
        <v>144000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topLeftCell="A25" workbookViewId="0">
      <selection activeCell="D37" sqref="D37"/>
    </sheetView>
  </sheetViews>
  <sheetFormatPr defaultColWidth="8.7265625" defaultRowHeight="13" x14ac:dyDescent="0.2"/>
  <cols>
    <col min="1" max="1" width="3.90625" style="91" customWidth="1"/>
    <col min="2" max="2" width="18.6328125" style="91" customWidth="1"/>
    <col min="3" max="6" width="15.6328125" style="91" customWidth="1"/>
    <col min="7" max="16384" width="8.7265625" style="91"/>
  </cols>
  <sheetData>
    <row r="1" spans="1:7" x14ac:dyDescent="0.2">
      <c r="A1" s="93"/>
      <c r="B1" s="93"/>
      <c r="C1" s="93"/>
      <c r="D1" s="93"/>
      <c r="E1" s="93"/>
      <c r="F1" s="94" t="s">
        <v>136</v>
      </c>
      <c r="G1" s="93"/>
    </row>
    <row r="2" spans="1:7" ht="14" x14ac:dyDescent="0.2">
      <c r="A2" s="93"/>
      <c r="B2" s="95" t="s">
        <v>137</v>
      </c>
      <c r="C2" s="95"/>
      <c r="D2" s="95"/>
      <c r="E2" s="95"/>
      <c r="F2" s="93"/>
      <c r="G2" s="93"/>
    </row>
    <row r="3" spans="1:7" ht="14" x14ac:dyDescent="0.2">
      <c r="A3" s="93"/>
      <c r="B3" s="96"/>
      <c r="C3" s="96"/>
      <c r="D3" s="96"/>
      <c r="E3" s="96"/>
      <c r="F3" s="93"/>
      <c r="G3" s="93"/>
    </row>
    <row r="4" spans="1:7" ht="14" x14ac:dyDescent="0.2">
      <c r="A4" s="93"/>
      <c r="B4" s="220" t="s">
        <v>138</v>
      </c>
      <c r="C4" s="220"/>
      <c r="D4" s="220"/>
      <c r="E4" s="220"/>
      <c r="F4" s="93"/>
      <c r="G4" s="93"/>
    </row>
    <row r="5" spans="1:7" x14ac:dyDescent="0.2">
      <c r="A5" s="93"/>
      <c r="B5" s="93"/>
      <c r="C5" s="93"/>
      <c r="D5" s="93"/>
      <c r="E5" s="93"/>
      <c r="F5" s="94" t="s">
        <v>139</v>
      </c>
      <c r="G5" s="93"/>
    </row>
    <row r="6" spans="1:7" ht="20.149999999999999" customHeight="1" x14ac:dyDescent="0.2">
      <c r="A6" s="97"/>
      <c r="B6" s="98" t="s">
        <v>140</v>
      </c>
      <c r="C6" s="98" t="s">
        <v>141</v>
      </c>
      <c r="D6" s="98" t="s">
        <v>142</v>
      </c>
      <c r="E6" s="98" t="s">
        <v>143</v>
      </c>
      <c r="F6" s="98" t="s">
        <v>144</v>
      </c>
      <c r="G6" s="93"/>
    </row>
    <row r="7" spans="1:7" ht="20.149999999999999" customHeight="1" x14ac:dyDescent="0.2">
      <c r="A7" s="99"/>
      <c r="B7" s="100" t="s">
        <v>145</v>
      </c>
      <c r="C7" s="101"/>
      <c r="D7" s="101"/>
      <c r="E7" s="101"/>
      <c r="F7" s="102"/>
      <c r="G7" s="93"/>
    </row>
    <row r="8" spans="1:7" ht="20.149999999999999" customHeight="1" x14ac:dyDescent="0.2">
      <c r="A8" s="103">
        <v>1</v>
      </c>
      <c r="B8" s="104" t="s">
        <v>146</v>
      </c>
      <c r="C8" s="105"/>
      <c r="D8" s="105"/>
      <c r="E8" s="105"/>
      <c r="F8" s="106"/>
      <c r="G8" s="93"/>
    </row>
    <row r="9" spans="1:7" ht="20.149999999999999" customHeight="1" x14ac:dyDescent="0.2">
      <c r="A9" s="103">
        <v>2</v>
      </c>
      <c r="B9" s="104" t="s">
        <v>147</v>
      </c>
      <c r="C9" s="105"/>
      <c r="D9" s="105"/>
      <c r="E9" s="105"/>
      <c r="F9" s="106"/>
      <c r="G9" s="93"/>
    </row>
    <row r="10" spans="1:7" ht="20.149999999999999" customHeight="1" x14ac:dyDescent="0.2">
      <c r="A10" s="103">
        <v>3</v>
      </c>
      <c r="B10" s="104" t="s">
        <v>148</v>
      </c>
      <c r="C10" s="105"/>
      <c r="D10" s="105"/>
      <c r="E10" s="105"/>
      <c r="F10" s="106"/>
      <c r="G10" s="93"/>
    </row>
    <row r="11" spans="1:7" ht="20.149999999999999" customHeight="1" x14ac:dyDescent="0.2">
      <c r="A11" s="103">
        <v>4</v>
      </c>
      <c r="B11" s="104" t="s">
        <v>149</v>
      </c>
      <c r="C11" s="105"/>
      <c r="D11" s="105"/>
      <c r="E11" s="105"/>
      <c r="F11" s="106"/>
      <c r="G11" s="93"/>
    </row>
    <row r="12" spans="1:7" ht="20.149999999999999" customHeight="1" x14ac:dyDescent="0.2">
      <c r="A12" s="103">
        <v>5</v>
      </c>
      <c r="B12" s="104" t="s">
        <v>150</v>
      </c>
      <c r="C12" s="105"/>
      <c r="D12" s="105"/>
      <c r="E12" s="105"/>
      <c r="F12" s="106"/>
      <c r="G12" s="93"/>
    </row>
    <row r="13" spans="1:7" ht="20.149999999999999" customHeight="1" x14ac:dyDescent="0.2">
      <c r="A13" s="103">
        <v>6</v>
      </c>
      <c r="B13" s="104" t="s">
        <v>151</v>
      </c>
      <c r="C13" s="105"/>
      <c r="D13" s="105"/>
      <c r="E13" s="105"/>
      <c r="F13" s="106"/>
      <c r="G13" s="93"/>
    </row>
    <row r="14" spans="1:7" ht="20.149999999999999" customHeight="1" x14ac:dyDescent="0.2">
      <c r="A14" s="103">
        <v>7</v>
      </c>
      <c r="B14" s="104" t="s">
        <v>153</v>
      </c>
      <c r="C14" s="105">
        <f>'収益・費用明細書(様式4)'!$G$26</f>
        <v>144000</v>
      </c>
      <c r="D14" s="105">
        <v>102000</v>
      </c>
      <c r="E14" s="181" t="s">
        <v>231</v>
      </c>
      <c r="F14" s="106" t="s">
        <v>154</v>
      </c>
      <c r="G14" s="93"/>
    </row>
    <row r="15" spans="1:7" ht="20.149999999999999" customHeight="1" x14ac:dyDescent="0.2">
      <c r="A15" s="103">
        <v>8</v>
      </c>
      <c r="B15" s="104" t="s">
        <v>155</v>
      </c>
      <c r="C15" s="105"/>
      <c r="D15" s="105"/>
      <c r="E15" s="105"/>
      <c r="F15" s="106"/>
      <c r="G15" s="93"/>
    </row>
    <row r="16" spans="1:7" ht="20.149999999999999" customHeight="1" x14ac:dyDescent="0.2">
      <c r="A16" s="107"/>
      <c r="B16" s="108" t="s">
        <v>156</v>
      </c>
      <c r="C16" s="109">
        <f>C14</f>
        <v>144000</v>
      </c>
      <c r="D16" s="109">
        <f t="shared" ref="D16:E16" si="0">D14</f>
        <v>102000</v>
      </c>
      <c r="E16" s="182" t="str">
        <f t="shared" si="0"/>
        <v xml:space="preserve">26,328	</v>
      </c>
      <c r="F16" s="110"/>
      <c r="G16" s="93"/>
    </row>
    <row r="17" spans="1:7" ht="20.149999999999999" customHeight="1" x14ac:dyDescent="0.2">
      <c r="A17" s="111"/>
      <c r="B17" s="100" t="s">
        <v>157</v>
      </c>
      <c r="C17" s="112"/>
      <c r="D17" s="112"/>
      <c r="E17" s="112"/>
      <c r="F17" s="102"/>
      <c r="G17" s="93"/>
    </row>
    <row r="18" spans="1:7" ht="20.149999999999999" customHeight="1" x14ac:dyDescent="0.2">
      <c r="A18" s="103">
        <v>1</v>
      </c>
      <c r="B18" s="104" t="s">
        <v>159</v>
      </c>
      <c r="C18" s="105">
        <f>'収益・費用明細書(様式4)'!$G$15</f>
        <v>61776</v>
      </c>
      <c r="D18" s="181" t="s">
        <v>232</v>
      </c>
      <c r="E18" s="105"/>
      <c r="F18" s="106" t="s">
        <v>160</v>
      </c>
      <c r="G18" s="93"/>
    </row>
    <row r="19" spans="1:7" ht="20.149999999999999" customHeight="1" x14ac:dyDescent="0.2">
      <c r="A19" s="103">
        <v>2</v>
      </c>
      <c r="B19" s="104" t="s">
        <v>162</v>
      </c>
      <c r="C19" s="113">
        <f>'収益・費用明細書(様式4)'!$G$18</f>
        <v>31650</v>
      </c>
      <c r="D19" s="181">
        <v>41050</v>
      </c>
      <c r="E19" s="105"/>
      <c r="F19" s="114" t="s">
        <v>163</v>
      </c>
      <c r="G19" s="93"/>
    </row>
    <row r="20" spans="1:7" ht="20.149999999999999" customHeight="1" x14ac:dyDescent="0.2">
      <c r="A20" s="103">
        <v>3</v>
      </c>
      <c r="B20" s="104" t="s">
        <v>164</v>
      </c>
      <c r="C20" s="105"/>
      <c r="D20" s="181"/>
      <c r="E20" s="105"/>
      <c r="F20" s="106"/>
      <c r="G20" s="93"/>
    </row>
    <row r="21" spans="1:7" ht="20.149999999999999" customHeight="1" x14ac:dyDescent="0.2">
      <c r="A21" s="103">
        <v>4</v>
      </c>
      <c r="B21" s="104" t="s">
        <v>165</v>
      </c>
      <c r="C21" s="105"/>
      <c r="D21" s="181"/>
      <c r="E21" s="105"/>
      <c r="F21" s="106"/>
      <c r="G21" s="93"/>
    </row>
    <row r="22" spans="1:7" ht="20.149999999999999" customHeight="1" x14ac:dyDescent="0.2">
      <c r="A22" s="103">
        <v>5</v>
      </c>
      <c r="B22" s="104" t="s">
        <v>166</v>
      </c>
      <c r="C22" s="105"/>
      <c r="D22" s="181"/>
      <c r="E22" s="105"/>
      <c r="F22" s="106"/>
      <c r="G22" s="93"/>
    </row>
    <row r="23" spans="1:7" ht="20.149999999999999" customHeight="1" x14ac:dyDescent="0.2">
      <c r="A23" s="103">
        <v>6</v>
      </c>
      <c r="B23" s="104" t="s">
        <v>167</v>
      </c>
      <c r="C23" s="105"/>
      <c r="D23" s="181"/>
      <c r="E23" s="105"/>
      <c r="F23" s="106"/>
      <c r="G23" s="93"/>
    </row>
    <row r="24" spans="1:7" ht="20.149999999999999" customHeight="1" x14ac:dyDescent="0.2">
      <c r="A24" s="103">
        <v>7</v>
      </c>
      <c r="B24" s="104" t="s">
        <v>168</v>
      </c>
      <c r="C24" s="105"/>
      <c r="D24" s="181"/>
      <c r="E24" s="105"/>
      <c r="F24" s="106"/>
      <c r="G24" s="93"/>
    </row>
    <row r="25" spans="1:7" ht="20.149999999999999" customHeight="1" x14ac:dyDescent="0.2">
      <c r="A25" s="103">
        <v>8</v>
      </c>
      <c r="B25" s="104" t="s">
        <v>169</v>
      </c>
      <c r="C25" s="105"/>
      <c r="D25" s="181"/>
      <c r="E25" s="105"/>
      <c r="F25" s="106"/>
      <c r="G25" s="93"/>
    </row>
    <row r="26" spans="1:7" ht="20.149999999999999" customHeight="1" x14ac:dyDescent="0.2">
      <c r="A26" s="103">
        <v>9</v>
      </c>
      <c r="B26" s="104" t="s">
        <v>170</v>
      </c>
      <c r="C26" s="105"/>
      <c r="D26" s="181"/>
      <c r="E26" s="105"/>
      <c r="F26" s="106"/>
      <c r="G26" s="93"/>
    </row>
    <row r="27" spans="1:7" ht="20.149999999999999" customHeight="1" x14ac:dyDescent="0.2">
      <c r="A27" s="103">
        <v>10</v>
      </c>
      <c r="B27" s="104" t="s">
        <v>171</v>
      </c>
      <c r="C27" s="105"/>
      <c r="D27" s="181"/>
      <c r="E27" s="105"/>
      <c r="F27" s="106"/>
      <c r="G27" s="93"/>
    </row>
    <row r="28" spans="1:7" ht="20.149999999999999" customHeight="1" x14ac:dyDescent="0.2">
      <c r="A28" s="103">
        <v>11</v>
      </c>
      <c r="B28" s="104" t="s">
        <v>172</v>
      </c>
      <c r="C28" s="105"/>
      <c r="D28" s="181"/>
      <c r="E28" s="105"/>
      <c r="F28" s="106"/>
      <c r="G28" s="93"/>
    </row>
    <row r="29" spans="1:7" ht="20.149999999999999" customHeight="1" x14ac:dyDescent="0.2">
      <c r="A29" s="103">
        <v>12</v>
      </c>
      <c r="B29" s="104" t="s">
        <v>173</v>
      </c>
      <c r="C29" s="105">
        <f>'収益・費用明細書(様式4)'!$G$23</f>
        <v>48597</v>
      </c>
      <c r="D29" s="181">
        <v>45672</v>
      </c>
      <c r="E29" s="105">
        <v>26328</v>
      </c>
      <c r="F29" s="106" t="s">
        <v>174</v>
      </c>
      <c r="G29" s="93"/>
    </row>
    <row r="30" spans="1:7" ht="20.149999999999999" customHeight="1" x14ac:dyDescent="0.2">
      <c r="A30" s="103">
        <v>13</v>
      </c>
      <c r="B30" s="104" t="s">
        <v>175</v>
      </c>
      <c r="C30" s="105"/>
      <c r="D30" s="181">
        <v>550</v>
      </c>
      <c r="E30" s="105"/>
      <c r="F30" s="106"/>
      <c r="G30" s="93"/>
    </row>
    <row r="31" spans="1:7" ht="20.149999999999999" customHeight="1" x14ac:dyDescent="0.2">
      <c r="A31" s="103">
        <v>14</v>
      </c>
      <c r="B31" s="104" t="s">
        <v>176</v>
      </c>
      <c r="C31" s="105">
        <f>'収益・費用明細書(様式4)'!$G$25</f>
        <v>1977</v>
      </c>
      <c r="D31" s="181">
        <v>2628</v>
      </c>
      <c r="E31" s="105"/>
      <c r="F31" s="115">
        <f>'収益・費用明細書(様式4)'!$F$24</f>
        <v>1.3729166666666667E-2</v>
      </c>
      <c r="G31" s="93"/>
    </row>
    <row r="32" spans="1:7" ht="20.149999999999999" customHeight="1" x14ac:dyDescent="0.2">
      <c r="A32" s="103"/>
      <c r="B32" s="104" t="s">
        <v>177</v>
      </c>
      <c r="C32" s="105">
        <f>'収益・費用明細書(様式4)'!$G$26</f>
        <v>144000</v>
      </c>
      <c r="D32" s="105">
        <v>102000</v>
      </c>
      <c r="E32" s="105">
        <f>E29</f>
        <v>26328</v>
      </c>
      <c r="F32" s="106"/>
      <c r="G32" s="93"/>
    </row>
    <row r="33" spans="1:7" ht="20.149999999999999" customHeight="1" x14ac:dyDescent="0.2">
      <c r="A33" s="116"/>
      <c r="B33" s="104" t="s">
        <v>178</v>
      </c>
      <c r="C33" s="105">
        <v>0</v>
      </c>
      <c r="D33" s="105">
        <v>0</v>
      </c>
      <c r="E33" s="105">
        <v>0</v>
      </c>
      <c r="F33" s="106"/>
      <c r="G33" s="93"/>
    </row>
    <row r="34" spans="1:7" ht="15" customHeight="1" x14ac:dyDescent="0.2">
      <c r="A34" s="93"/>
      <c r="B34" s="117"/>
      <c r="C34" s="93"/>
      <c r="D34" s="93"/>
      <c r="E34" s="93"/>
      <c r="F34" s="93"/>
      <c r="G34" s="93"/>
    </row>
    <row r="35" spans="1:7" ht="15" customHeight="1" x14ac:dyDescent="0.2">
      <c r="A35" s="93"/>
      <c r="B35" s="117"/>
      <c r="C35" s="93"/>
      <c r="D35" s="93"/>
      <c r="E35" s="93"/>
      <c r="F35" s="93"/>
      <c r="G35" s="93"/>
    </row>
    <row r="36" spans="1:7" x14ac:dyDescent="0.2">
      <c r="A36" s="93"/>
      <c r="B36" s="93"/>
      <c r="C36" s="93"/>
      <c r="D36" s="93"/>
      <c r="E36" s="93"/>
      <c r="F36" s="93"/>
      <c r="G36" s="93"/>
    </row>
    <row r="37" spans="1:7" x14ac:dyDescent="0.2">
      <c r="A37" s="93"/>
      <c r="B37" s="93"/>
      <c r="C37" s="93"/>
      <c r="D37" s="93"/>
      <c r="E37" s="93"/>
      <c r="F37" s="93"/>
      <c r="G37" s="93"/>
    </row>
    <row r="38" spans="1:7" x14ac:dyDescent="0.2">
      <c r="A38" s="93"/>
      <c r="B38" s="93"/>
      <c r="C38" s="93"/>
      <c r="D38" s="93"/>
      <c r="E38" s="93"/>
      <c r="F38" s="93"/>
      <c r="G38" s="93"/>
    </row>
    <row r="39" spans="1:7" x14ac:dyDescent="0.2">
      <c r="A39" s="93"/>
      <c r="B39" s="93"/>
      <c r="C39" s="93"/>
      <c r="D39" s="93"/>
      <c r="E39" s="93"/>
      <c r="F39" s="93"/>
      <c r="G39" s="93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showGridLines="0" topLeftCell="A17" zoomScale="85" zoomScaleNormal="85" workbookViewId="0">
      <selection activeCell="O24" sqref="O24"/>
    </sheetView>
  </sheetViews>
  <sheetFormatPr defaultColWidth="8.7265625" defaultRowHeight="13" x14ac:dyDescent="0.2"/>
  <cols>
    <col min="1" max="1" width="1.6328125" style="91" customWidth="1"/>
    <col min="2" max="2" width="3.6328125" style="91" customWidth="1"/>
    <col min="3" max="3" width="1.6328125" style="91" customWidth="1"/>
    <col min="4" max="4" width="18.6328125" style="91" customWidth="1"/>
    <col min="5" max="5" width="11.6328125" style="91" customWidth="1"/>
    <col min="6" max="6" width="28.90625" style="91" customWidth="1"/>
    <col min="7" max="7" width="20.90625" style="91" customWidth="1"/>
    <col min="8" max="8" width="5.08984375" style="91" customWidth="1"/>
    <col min="9" max="9" width="4.08984375" style="91" customWidth="1"/>
    <col min="10" max="16384" width="8.7265625" style="91"/>
  </cols>
  <sheetData>
    <row r="1" spans="1:9" x14ac:dyDescent="0.2">
      <c r="A1" s="93"/>
      <c r="B1" s="93"/>
      <c r="C1" s="93"/>
      <c r="D1" s="224" t="s">
        <v>179</v>
      </c>
      <c r="E1" s="224"/>
      <c r="F1" s="224"/>
      <c r="G1" s="224"/>
      <c r="H1" s="224"/>
      <c r="I1" s="93"/>
    </row>
    <row r="2" spans="1:9" x14ac:dyDescent="0.2">
      <c r="A2" s="93"/>
      <c r="B2" s="226" t="s">
        <v>138</v>
      </c>
      <c r="C2" s="226"/>
      <c r="D2" s="226"/>
      <c r="E2" s="226"/>
      <c r="F2" s="226"/>
      <c r="G2" s="226"/>
      <c r="H2" s="94"/>
      <c r="I2" s="93"/>
    </row>
    <row r="3" spans="1:9" x14ac:dyDescent="0.2">
      <c r="A3" s="93"/>
      <c r="B3" s="93"/>
      <c r="C3" s="93"/>
      <c r="D3" s="94"/>
      <c r="E3" s="94"/>
      <c r="F3" s="94"/>
      <c r="G3" s="94"/>
      <c r="H3" s="94"/>
      <c r="I3" s="93"/>
    </row>
    <row r="4" spans="1:9" x14ac:dyDescent="0.2">
      <c r="A4" s="225" t="s">
        <v>180</v>
      </c>
      <c r="B4" s="225"/>
      <c r="C4" s="225"/>
      <c r="D4" s="225"/>
      <c r="E4" s="118"/>
      <c r="F4" s="93"/>
      <c r="G4" s="93"/>
      <c r="H4" s="94" t="s">
        <v>181</v>
      </c>
      <c r="I4" s="93"/>
    </row>
    <row r="5" spans="1:9" ht="30" customHeight="1" x14ac:dyDescent="0.2">
      <c r="A5" s="221" t="s">
        <v>182</v>
      </c>
      <c r="B5" s="222"/>
      <c r="C5" s="222"/>
      <c r="D5" s="223"/>
      <c r="E5" s="227" t="s">
        <v>183</v>
      </c>
      <c r="F5" s="223"/>
      <c r="G5" s="119" t="s">
        <v>184</v>
      </c>
      <c r="H5" s="119" t="s">
        <v>185</v>
      </c>
      <c r="I5" s="93"/>
    </row>
    <row r="6" spans="1:9" ht="30" customHeight="1" x14ac:dyDescent="0.2">
      <c r="A6" s="120" t="s">
        <v>186</v>
      </c>
      <c r="B6" s="121">
        <v>7</v>
      </c>
      <c r="C6" s="122" t="s">
        <v>187</v>
      </c>
      <c r="D6" s="106" t="s">
        <v>152</v>
      </c>
      <c r="E6" s="228" t="s">
        <v>154</v>
      </c>
      <c r="F6" s="229"/>
      <c r="G6" s="123">
        <f>$G$26</f>
        <v>144000</v>
      </c>
      <c r="H6" s="106"/>
      <c r="I6" s="93"/>
    </row>
    <row r="7" spans="1:9" ht="30" customHeight="1" x14ac:dyDescent="0.2">
      <c r="A7" s="221" t="s">
        <v>188</v>
      </c>
      <c r="B7" s="222"/>
      <c r="C7" s="222"/>
      <c r="D7" s="222"/>
      <c r="E7" s="222"/>
      <c r="F7" s="223"/>
      <c r="G7" s="123">
        <f>$G$26</f>
        <v>144000</v>
      </c>
      <c r="H7" s="106"/>
      <c r="I7" s="93"/>
    </row>
    <row r="8" spans="1:9" ht="13.5" customHeight="1" x14ac:dyDescent="0.2">
      <c r="A8" s="93"/>
      <c r="B8" s="93"/>
      <c r="C8" s="93"/>
      <c r="D8" s="93"/>
      <c r="E8" s="93"/>
      <c r="F8" s="93"/>
      <c r="G8" s="93"/>
      <c r="H8" s="93"/>
      <c r="I8" s="93"/>
    </row>
    <row r="9" spans="1:9" ht="13.5" customHeight="1" x14ac:dyDescent="0.2">
      <c r="A9" s="93"/>
      <c r="B9" s="93"/>
      <c r="C9" s="93"/>
      <c r="D9" s="93"/>
      <c r="E9" s="93"/>
      <c r="F9" s="93"/>
      <c r="G9" s="93"/>
      <c r="H9" s="93"/>
      <c r="I9" s="93"/>
    </row>
    <row r="10" spans="1:9" ht="13.5" customHeight="1" x14ac:dyDescent="0.2">
      <c r="A10" s="93"/>
      <c r="B10" s="93"/>
      <c r="C10" s="93"/>
      <c r="D10" s="224"/>
      <c r="E10" s="224"/>
      <c r="F10" s="224"/>
      <c r="G10" s="224"/>
      <c r="H10" s="224"/>
      <c r="I10" s="93"/>
    </row>
    <row r="11" spans="1:9" ht="19.5" customHeight="1" x14ac:dyDescent="0.2">
      <c r="A11" s="225" t="s">
        <v>189</v>
      </c>
      <c r="B11" s="225"/>
      <c r="C11" s="225"/>
      <c r="D11" s="225"/>
      <c r="E11" s="93"/>
      <c r="F11" s="93"/>
      <c r="G11" s="93"/>
      <c r="H11" s="94" t="s">
        <v>181</v>
      </c>
      <c r="I11" s="93"/>
    </row>
    <row r="12" spans="1:9" ht="30" customHeight="1" x14ac:dyDescent="0.2">
      <c r="A12" s="221" t="s">
        <v>182</v>
      </c>
      <c r="B12" s="222"/>
      <c r="C12" s="222"/>
      <c r="D12" s="223"/>
      <c r="E12" s="119" t="s">
        <v>190</v>
      </c>
      <c r="F12" s="119" t="s">
        <v>191</v>
      </c>
      <c r="G12" s="178" t="s">
        <v>184</v>
      </c>
      <c r="H12" s="178" t="s">
        <v>185</v>
      </c>
      <c r="I12" s="93"/>
    </row>
    <row r="13" spans="1:9" ht="30" customHeight="1" x14ac:dyDescent="0.2">
      <c r="A13" s="124" t="s">
        <v>186</v>
      </c>
      <c r="B13" s="175">
        <v>1</v>
      </c>
      <c r="C13" s="176" t="s">
        <v>187</v>
      </c>
      <c r="D13" s="110" t="s">
        <v>158</v>
      </c>
      <c r="E13" s="106" t="s">
        <v>160</v>
      </c>
      <c r="F13" s="106" t="s">
        <v>192</v>
      </c>
      <c r="G13" s="177">
        <v>55000</v>
      </c>
      <c r="H13" s="179">
        <v>1</v>
      </c>
      <c r="I13" s="93"/>
    </row>
    <row r="14" spans="1:9" ht="30" customHeight="1" x14ac:dyDescent="0.2">
      <c r="A14" s="124"/>
      <c r="B14" s="175"/>
      <c r="C14" s="176"/>
      <c r="D14" s="110"/>
      <c r="E14" s="106" t="s">
        <v>160</v>
      </c>
      <c r="F14" s="106" t="s">
        <v>193</v>
      </c>
      <c r="G14" s="177">
        <v>6776</v>
      </c>
      <c r="H14" s="179">
        <v>1</v>
      </c>
      <c r="I14" s="93"/>
    </row>
    <row r="15" spans="1:9" ht="30" customHeight="1" x14ac:dyDescent="0.2">
      <c r="A15" s="116"/>
      <c r="B15" s="122"/>
      <c r="C15" s="122"/>
      <c r="D15" s="106"/>
      <c r="E15" s="122"/>
      <c r="F15" s="106" t="s">
        <v>194</v>
      </c>
      <c r="G15" s="177">
        <f>(G13+G14)</f>
        <v>61776</v>
      </c>
      <c r="H15" s="178"/>
      <c r="I15" s="93"/>
    </row>
    <row r="16" spans="1:9" ht="30" customHeight="1" x14ac:dyDescent="0.2">
      <c r="A16" s="124" t="s">
        <v>186</v>
      </c>
      <c r="B16" s="175">
        <v>2</v>
      </c>
      <c r="C16" s="176" t="s">
        <v>187</v>
      </c>
      <c r="D16" s="110" t="s">
        <v>161</v>
      </c>
      <c r="E16" s="106" t="s">
        <v>195</v>
      </c>
      <c r="F16" s="106" t="s">
        <v>196</v>
      </c>
      <c r="G16" s="177">
        <v>1650</v>
      </c>
      <c r="H16" s="179">
        <v>1</v>
      </c>
      <c r="I16" s="93"/>
    </row>
    <row r="17" spans="1:9" ht="30" customHeight="1" x14ac:dyDescent="0.2">
      <c r="A17" s="127"/>
      <c r="B17" s="176"/>
      <c r="C17" s="176"/>
      <c r="D17" s="110"/>
      <c r="E17" s="106" t="s">
        <v>195</v>
      </c>
      <c r="F17" s="110" t="s">
        <v>197</v>
      </c>
      <c r="G17" s="177">
        <v>30000</v>
      </c>
      <c r="H17" s="180">
        <v>3</v>
      </c>
      <c r="I17" s="93"/>
    </row>
    <row r="18" spans="1:9" ht="30" customHeight="1" x14ac:dyDescent="0.2">
      <c r="A18" s="116"/>
      <c r="B18" s="122"/>
      <c r="C18" s="122"/>
      <c r="D18" s="106"/>
      <c r="E18" s="122"/>
      <c r="F18" s="102" t="s">
        <v>194</v>
      </c>
      <c r="G18" s="177">
        <v>31650</v>
      </c>
      <c r="H18" s="178"/>
      <c r="I18" s="93"/>
    </row>
    <row r="19" spans="1:9" ht="30" customHeight="1" x14ac:dyDescent="0.2">
      <c r="A19" s="124" t="s">
        <v>186</v>
      </c>
      <c r="B19" s="175">
        <v>12</v>
      </c>
      <c r="C19" s="176" t="s">
        <v>187</v>
      </c>
      <c r="D19" s="110" t="s">
        <v>173</v>
      </c>
      <c r="E19" s="106"/>
      <c r="F19" s="184" t="s">
        <v>233</v>
      </c>
      <c r="G19" s="177">
        <v>20625</v>
      </c>
      <c r="H19" s="179">
        <v>1</v>
      </c>
      <c r="I19" s="93"/>
    </row>
    <row r="20" spans="1:9" ht="30" customHeight="1" x14ac:dyDescent="0.2">
      <c r="A20" s="124"/>
      <c r="B20" s="175"/>
      <c r="C20" s="176"/>
      <c r="D20" s="110"/>
      <c r="E20" s="106"/>
      <c r="F20" s="106" t="s">
        <v>229</v>
      </c>
      <c r="G20" s="177">
        <v>16500</v>
      </c>
      <c r="H20" s="179">
        <v>1</v>
      </c>
      <c r="I20" s="93"/>
    </row>
    <row r="21" spans="1:9" ht="43.5" customHeight="1" x14ac:dyDescent="0.2">
      <c r="A21" s="124"/>
      <c r="B21" s="175"/>
      <c r="C21" s="176"/>
      <c r="D21" s="110"/>
      <c r="E21" s="106"/>
      <c r="F21" s="184" t="s">
        <v>234</v>
      </c>
      <c r="G21" s="177">
        <v>8007</v>
      </c>
      <c r="H21" s="179">
        <v>2</v>
      </c>
      <c r="I21" s="93"/>
    </row>
    <row r="22" spans="1:9" ht="30" customHeight="1" x14ac:dyDescent="0.2">
      <c r="A22" s="124"/>
      <c r="B22" s="175"/>
      <c r="C22" s="176"/>
      <c r="D22" s="110"/>
      <c r="E22" s="106"/>
      <c r="F22" s="106" t="s">
        <v>235</v>
      </c>
      <c r="G22" s="177">
        <v>3465</v>
      </c>
      <c r="H22" s="180"/>
      <c r="I22" s="93"/>
    </row>
    <row r="23" spans="1:9" ht="30" customHeight="1" x14ac:dyDescent="0.2">
      <c r="A23" s="116"/>
      <c r="B23" s="122"/>
      <c r="C23" s="122"/>
      <c r="D23" s="106"/>
      <c r="E23" s="122"/>
      <c r="F23" s="106" t="s">
        <v>198</v>
      </c>
      <c r="G23" s="177">
        <f>(G19+G20+G21+G22)</f>
        <v>48597</v>
      </c>
      <c r="H23" s="178"/>
      <c r="I23" s="93"/>
    </row>
    <row r="24" spans="1:9" ht="30" customHeight="1" x14ac:dyDescent="0.2">
      <c r="A24" s="124" t="s">
        <v>186</v>
      </c>
      <c r="B24" s="175">
        <v>15</v>
      </c>
      <c r="C24" s="176" t="s">
        <v>187</v>
      </c>
      <c r="D24" s="110" t="s">
        <v>176</v>
      </c>
      <c r="E24" s="106"/>
      <c r="F24" s="115">
        <f>(G24/G26)</f>
        <v>1.3729166666666667E-2</v>
      </c>
      <c r="G24" s="105">
        <v>1977</v>
      </c>
      <c r="H24" s="126"/>
      <c r="I24" s="93"/>
    </row>
    <row r="25" spans="1:9" ht="30" customHeight="1" x14ac:dyDescent="0.2">
      <c r="A25" s="116"/>
      <c r="B25" s="122"/>
      <c r="C25" s="122"/>
      <c r="D25" s="106"/>
      <c r="E25" s="122"/>
      <c r="F25" s="106" t="s">
        <v>194</v>
      </c>
      <c r="G25" s="105">
        <f>(G24)</f>
        <v>1977</v>
      </c>
      <c r="H25" s="126"/>
      <c r="I25" s="93"/>
    </row>
    <row r="26" spans="1:9" ht="30" customHeight="1" x14ac:dyDescent="0.2">
      <c r="A26" s="116"/>
      <c r="B26" s="122"/>
      <c r="C26" s="122"/>
      <c r="D26" s="122"/>
      <c r="E26" s="122"/>
      <c r="F26" s="106" t="s">
        <v>199</v>
      </c>
      <c r="G26" s="105">
        <f>(G15+G18+G23+G25)</f>
        <v>144000</v>
      </c>
      <c r="H26" s="126"/>
      <c r="I26" s="93"/>
    </row>
    <row r="27" spans="1:9" ht="19.5" customHeight="1" x14ac:dyDescent="0.2">
      <c r="A27" s="93"/>
      <c r="B27" s="93"/>
      <c r="C27" s="93"/>
      <c r="D27" s="93"/>
      <c r="E27" s="93"/>
      <c r="F27" s="93"/>
      <c r="G27" s="93"/>
      <c r="H27" s="93"/>
      <c r="I27" s="93"/>
    </row>
    <row r="28" spans="1:9" ht="19.5" customHeight="1" x14ac:dyDescent="0.2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9.5" customHeight="1" x14ac:dyDescent="0.2">
      <c r="A29" s="93"/>
      <c r="B29" s="93"/>
      <c r="C29" s="93"/>
      <c r="D29" s="93"/>
      <c r="E29" s="93"/>
      <c r="F29" s="93"/>
      <c r="G29" s="93"/>
      <c r="H29" s="93"/>
      <c r="I29" s="93"/>
    </row>
    <row r="30" spans="1:9" ht="19.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</row>
    <row r="31" spans="1:9" ht="19.5" customHeight="1" x14ac:dyDescent="0.2">
      <c r="A31" s="93"/>
      <c r="B31" s="93"/>
      <c r="C31" s="93"/>
      <c r="D31" s="93"/>
      <c r="E31" s="93"/>
      <c r="F31" s="93"/>
      <c r="G31" s="93"/>
      <c r="H31" s="93"/>
      <c r="I31" s="93"/>
    </row>
    <row r="32" spans="1:9" ht="19.5" customHeight="1" x14ac:dyDescent="0.2">
      <c r="A32" s="93"/>
      <c r="B32" s="93"/>
      <c r="C32" s="93"/>
      <c r="D32" s="93"/>
      <c r="E32" s="93"/>
      <c r="F32" s="93"/>
      <c r="G32" s="93"/>
      <c r="H32" s="93"/>
      <c r="I32" s="93"/>
    </row>
    <row r="33" spans="1:9" ht="19.5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</row>
  </sheetData>
  <mergeCells count="10">
    <mergeCell ref="A7:F7"/>
    <mergeCell ref="D10:H10"/>
    <mergeCell ref="A11:D11"/>
    <mergeCell ref="A12:D12"/>
    <mergeCell ref="D1:H1"/>
    <mergeCell ref="B2:G2"/>
    <mergeCell ref="A4:D4"/>
    <mergeCell ref="A5:D5"/>
    <mergeCell ref="E5:F5"/>
    <mergeCell ref="E6:F6"/>
  </mergeCells>
  <phoneticPr fontId="18"/>
  <hyperlinks>
    <hyperlink ref="H20" r:id="rId1" display="mitsumori\gurandehagakure_heyadai.pdf" xr:uid="{7B19EEBE-E207-410E-9514-460FD9BC6BF4}"/>
    <hyperlink ref="H19" r:id="rId2" display="mitsumori\gurandehagakure_heyadai.pdf" xr:uid="{2C116FF4-7791-4832-9E87-E9FF5E3BAEA6}"/>
    <hyperlink ref="H16" r:id="rId3" display="mitsumori\gurandehagakure_heyadai.pdf" xr:uid="{A051CF37-6AC3-4477-8013-73A1A2EEB5AA}"/>
    <hyperlink ref="H14" r:id="rId4" display="mitsumori\gurandehagakure_heyadai.pdf" xr:uid="{11ED3ACD-44F4-4AC0-A1B8-C97AE3BF5BFE}"/>
    <hyperlink ref="H13" r:id="rId5" display="mitsumori\gurandehagakure_heyadai.pdf" xr:uid="{6452B3FA-A418-4553-B3CC-6DD59E40A5CF}"/>
    <hyperlink ref="H17" r:id="rId6" display="mitsumori\teensmyujikaru_mitumori.PDF" xr:uid="{CFD52B8C-D6E6-4E1C-999C-C2BEBF89BD29}"/>
    <hyperlink ref="H21" r:id="rId7" display="mitsumori/kitte_ryousyuusyo.pdf" xr:uid="{80CCB7B9-2C29-4E39-BCC9-F1B1859A3393}"/>
  </hyperlinks>
  <printOptions horizontalCentered="1"/>
  <pageMargins left="0.79" right="0.79" top="0.98" bottom="0.55000000000000004" header="0.51" footer="0.51"/>
  <pageSetup paperSize="9"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tabSelected="1" workbookViewId="0">
      <selection activeCell="E14" sqref="E14"/>
    </sheetView>
  </sheetViews>
  <sheetFormatPr defaultRowHeight="13" x14ac:dyDescent="0.2"/>
  <cols>
    <col min="1" max="1" width="9.08984375" customWidth="1"/>
    <col min="2" max="2" width="27.6328125" customWidth="1"/>
    <col min="3" max="3" width="23.08984375" customWidth="1"/>
    <col min="4" max="4" width="23.90625" customWidth="1"/>
    <col min="5" max="5" width="15.7265625" bestFit="1" customWidth="1"/>
    <col min="6" max="6" width="6.453125" customWidth="1"/>
    <col min="7" max="7" width="22.90625" customWidth="1"/>
    <col min="8" max="8" width="13.90625" customWidth="1"/>
  </cols>
  <sheetData>
    <row r="1" spans="1:8" x14ac:dyDescent="0.2">
      <c r="A1" s="92"/>
      <c r="B1" s="92"/>
      <c r="C1" s="92"/>
      <c r="D1" s="92"/>
      <c r="E1" s="92"/>
      <c r="F1" s="92"/>
      <c r="G1" s="92"/>
      <c r="H1" s="128" t="s">
        <v>200</v>
      </c>
    </row>
    <row r="2" spans="1:8" ht="16.5" x14ac:dyDescent="0.25">
      <c r="A2" s="92"/>
      <c r="B2" s="129" t="s">
        <v>30</v>
      </c>
      <c r="C2" s="129"/>
      <c r="D2" s="129"/>
      <c r="E2" s="129"/>
      <c r="F2" s="129"/>
      <c r="G2" s="129"/>
      <c r="H2" s="129"/>
    </row>
    <row r="3" spans="1:8" x14ac:dyDescent="0.2">
      <c r="A3" s="92"/>
      <c r="B3" s="130" t="s">
        <v>201</v>
      </c>
      <c r="C3" s="130"/>
      <c r="D3" s="130"/>
      <c r="E3" s="130"/>
      <c r="F3" s="130"/>
      <c r="G3" s="130"/>
      <c r="H3" s="130"/>
    </row>
    <row r="4" spans="1:8" ht="13.5" thickBot="1" x14ac:dyDescent="0.25">
      <c r="A4" s="92"/>
      <c r="B4" s="92"/>
      <c r="C4" s="92"/>
      <c r="D4" s="92"/>
      <c r="E4" s="92"/>
      <c r="F4" s="92"/>
      <c r="G4" s="92"/>
      <c r="H4" s="92"/>
    </row>
    <row r="5" spans="1:8" x14ac:dyDescent="0.2">
      <c r="A5" s="230" t="s">
        <v>202</v>
      </c>
      <c r="B5" s="231"/>
      <c r="C5" s="231"/>
      <c r="D5" s="231"/>
      <c r="E5" s="232"/>
      <c r="F5" s="233" t="s">
        <v>203</v>
      </c>
      <c r="G5" s="231"/>
      <c r="H5" s="234"/>
    </row>
    <row r="6" spans="1:8" ht="13.5" thickBot="1" x14ac:dyDescent="0.25">
      <c r="A6" s="131" t="s">
        <v>204</v>
      </c>
      <c r="B6" s="132" t="s">
        <v>205</v>
      </c>
      <c r="C6" s="132" t="s">
        <v>206</v>
      </c>
      <c r="D6" s="132" t="s">
        <v>207</v>
      </c>
      <c r="E6" s="133" t="s">
        <v>208</v>
      </c>
      <c r="F6" s="134" t="s">
        <v>209</v>
      </c>
      <c r="G6" s="132" t="s">
        <v>205</v>
      </c>
      <c r="H6" s="135" t="s">
        <v>210</v>
      </c>
    </row>
    <row r="7" spans="1:8" x14ac:dyDescent="0.2">
      <c r="A7" s="161">
        <v>1</v>
      </c>
      <c r="B7" s="102" t="s">
        <v>211</v>
      </c>
      <c r="C7" s="102" t="s">
        <v>237</v>
      </c>
      <c r="D7" s="136">
        <v>100551</v>
      </c>
      <c r="E7" s="185">
        <v>44592</v>
      </c>
      <c r="F7" s="137"/>
      <c r="G7" s="138"/>
      <c r="H7" s="139"/>
    </row>
    <row r="8" spans="1:8" x14ac:dyDescent="0.2">
      <c r="A8" s="125">
        <v>2</v>
      </c>
      <c r="B8" s="106" t="s">
        <v>236</v>
      </c>
      <c r="C8" s="106" t="s">
        <v>238</v>
      </c>
      <c r="D8" s="140">
        <v>8007</v>
      </c>
      <c r="E8" s="186">
        <v>44553</v>
      </c>
      <c r="F8" s="141"/>
      <c r="G8" s="142"/>
      <c r="H8" s="143"/>
    </row>
    <row r="9" spans="1:8" ht="13.5" thickBot="1" x14ac:dyDescent="0.25">
      <c r="A9" s="174">
        <v>3</v>
      </c>
      <c r="B9" s="144" t="s">
        <v>212</v>
      </c>
      <c r="C9" s="144" t="s">
        <v>195</v>
      </c>
      <c r="D9" s="145">
        <v>30000</v>
      </c>
      <c r="E9" s="183">
        <v>44926</v>
      </c>
      <c r="F9" s="146"/>
      <c r="G9" s="147"/>
      <c r="H9" s="148"/>
    </row>
    <row r="10" spans="1:8" ht="13.5" thickBot="1" x14ac:dyDescent="0.25">
      <c r="A10" s="235"/>
      <c r="B10" s="236"/>
      <c r="C10" s="149" t="s">
        <v>213</v>
      </c>
      <c r="D10" s="150">
        <f>(D7+D9+D8)</f>
        <v>138558</v>
      </c>
      <c r="E10" s="92"/>
      <c r="F10" s="92"/>
      <c r="G10" s="92"/>
      <c r="H10" s="151"/>
    </row>
    <row r="11" spans="1:8" ht="21" customHeight="1" x14ac:dyDescent="0.2">
      <c r="A11" s="237" t="s">
        <v>214</v>
      </c>
      <c r="B11" s="237"/>
      <c r="C11" s="237"/>
      <c r="D11" s="237"/>
      <c r="E11" s="237"/>
      <c r="F11" s="237"/>
      <c r="G11" s="237"/>
      <c r="H11" s="237"/>
    </row>
    <row r="12" spans="1:8" s="152" customFormat="1" ht="17.25" customHeight="1" x14ac:dyDescent="0.2">
      <c r="A12" s="153" t="s">
        <v>215</v>
      </c>
      <c r="B12" s="153"/>
      <c r="C12" s="153"/>
      <c r="D12" s="154"/>
      <c r="E12" s="154"/>
      <c r="F12" s="154"/>
      <c r="G12" s="154"/>
      <c r="H12" s="154"/>
    </row>
    <row r="13" spans="1:8" ht="17.25" customHeight="1" x14ac:dyDescent="0.2">
      <c r="A13" s="238" t="s">
        <v>216</v>
      </c>
      <c r="B13" s="238"/>
      <c r="C13" s="238"/>
      <c r="D13" s="238"/>
      <c r="E13" s="238"/>
      <c r="F13" s="238"/>
      <c r="G13" s="238"/>
      <c r="H13" s="238"/>
    </row>
    <row r="14" spans="1:8" ht="21" customHeight="1" x14ac:dyDescent="0.2">
      <c r="A14" s="155"/>
      <c r="B14" s="156"/>
      <c r="C14" s="156"/>
      <c r="D14" s="156"/>
      <c r="E14" s="156"/>
      <c r="F14" s="156"/>
      <c r="G14" s="156"/>
      <c r="H14" s="156"/>
    </row>
    <row r="15" spans="1:8" ht="13.5" thickBot="1" x14ac:dyDescent="0.25">
      <c r="A15" s="92"/>
      <c r="B15" s="92"/>
      <c r="C15" s="92"/>
      <c r="D15" s="92"/>
      <c r="E15" s="92"/>
      <c r="F15" s="92"/>
      <c r="G15" s="92"/>
      <c r="H15" s="92"/>
    </row>
    <row r="16" spans="1:8" ht="13.5" thickBot="1" x14ac:dyDescent="0.25">
      <c r="A16" s="157" t="s">
        <v>204</v>
      </c>
      <c r="B16" s="158" t="s">
        <v>217</v>
      </c>
      <c r="C16" s="158" t="s">
        <v>218</v>
      </c>
      <c r="D16" s="159" t="s">
        <v>219</v>
      </c>
      <c r="E16" s="160" t="s">
        <v>220</v>
      </c>
      <c r="F16" s="118"/>
      <c r="G16" s="92"/>
      <c r="H16" s="118"/>
    </row>
    <row r="17" spans="1:8" ht="24" customHeight="1" x14ac:dyDescent="0.2">
      <c r="A17" s="161">
        <v>1</v>
      </c>
      <c r="B17" s="162" t="s">
        <v>221</v>
      </c>
      <c r="C17" s="163" t="s" ph="1">
        <v>222</v>
      </c>
      <c r="D17" s="164" t="s">
        <v>223</v>
      </c>
      <c r="E17" s="165" t="s">
        <v>225</v>
      </c>
      <c r="F17" s="166"/>
      <c r="G17" s="92"/>
      <c r="H17" s="167"/>
    </row>
    <row r="18" spans="1:8" ht="24" customHeight="1" thickBot="1" x14ac:dyDescent="0.25">
      <c r="A18" s="174">
        <v>3</v>
      </c>
      <c r="B18" s="168" t="s">
        <v>226</v>
      </c>
      <c r="C18" s="169" t="s" ph="1">
        <v>222</v>
      </c>
      <c r="D18" s="170" t="s">
        <v>227</v>
      </c>
      <c r="E18" s="171" t="s">
        <v>224</v>
      </c>
      <c r="F18" s="166"/>
      <c r="G18" s="92"/>
      <c r="H18" s="167"/>
    </row>
    <row r="19" spans="1:8" ht="13.5" thickBot="1" x14ac:dyDescent="0.25">
      <c r="A19" s="92"/>
      <c r="B19" s="92"/>
      <c r="C19" s="92"/>
      <c r="D19" s="172" t="s">
        <v>228</v>
      </c>
      <c r="E19" s="173">
        <v>0</v>
      </c>
      <c r="F19" s="92"/>
      <c r="G19" s="92"/>
      <c r="H19" s="92"/>
    </row>
    <row r="20" spans="1:8" ht="19.5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19.5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/kitte_ryousyuusyo.pdf" xr:uid="{38BD18A5-AA5A-4F20-B2DB-B32AF0DF65A5}"/>
    <hyperlink ref="A9" r:id="rId2" display="mitsumori\teensmyujikaru_mitumori.PDF" xr:uid="{67A77431-7417-4CB9-A1A0-0DDBFC528BCB}"/>
    <hyperlink ref="A7" r:id="rId3" display="mitsumori\gurandehagakure_heyadai.pdf" xr:uid="{A4CEDF23-E668-4EF4-A6FB-09EDA63E481C}"/>
    <hyperlink ref="A17" r:id="rId4" display="mitsumori\gurandehagakure_heyadai.pdf" xr:uid="{0B4CF5FB-EF0D-43F6-B185-44D16218FE3E}"/>
    <hyperlink ref="A18" r:id="rId5" display="mitsumori\teensmyujikaru_mitumori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財審様式</vt:lpstr>
      <vt:lpstr>委員会年間事業予算管理表(様式1)</vt:lpstr>
      <vt:lpstr>収支予算書(様式3)</vt:lpstr>
      <vt:lpstr>収益・費用明細書(様式4)</vt:lpstr>
      <vt:lpstr>見積企業一覧表(様式5)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スズキスタイル</dc:creator>
  <cp:lastModifiedBy>スズキスタイル</cp:lastModifiedBy>
  <dcterms:created xsi:type="dcterms:W3CDTF">2021-11-14T13:34:46Z</dcterms:created>
  <dcterms:modified xsi:type="dcterms:W3CDTF">2022-01-04T11:31:45Z</dcterms:modified>
</cp:coreProperties>
</file>