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講師等出演依頼承諾書(様式6)" sheetId="1" r:id="rId4"/>
  </sheets>
</workbook>
</file>

<file path=xl/sharedStrings.xml><?xml version="1.0" encoding="utf-8"?>
<sst xmlns="http://schemas.openxmlformats.org/spreadsheetml/2006/main" uniqueCount="145">
  <si>
    <t>［財審様式6］</t>
  </si>
  <si>
    <t>　</t>
  </si>
  <si>
    <t>［規則様式4］</t>
  </si>
  <si>
    <t>謝礼金等内訳　金額入力欄</t>
  </si>
  <si>
    <t>１．個人契約用（３．その他も含む）</t>
  </si>
  <si>
    <t>一般社団法人 佐賀青年会議所</t>
  </si>
  <si>
    <t>令和４年　１２月　２２日</t>
  </si>
  <si>
    <t>①源泉所得税グロスアップ計算（手取額から支払金額を逆算する方法）</t>
  </si>
  <si>
    <t>　　　　　　　宛</t>
  </si>
  <si>
    <t>差引手取支給額</t>
  </si>
  <si>
    <t>消費税込支払金額</t>
  </si>
  <si>
    <t>源泉所得税額</t>
  </si>
  <si>
    <t>印紙貼付欄</t>
  </si>
  <si>
    <t>　　　　　講師等出演依頼承諾書</t>
  </si>
  <si>
    <t>②支払金額から手取り額を計算する方法</t>
  </si>
  <si>
    <t>一般社団法人 佐賀青年会議所よりの講演等の依頼につきまして、下記及び裏面記載の各条項を了知の上、承諾いたします。</t>
  </si>
  <si>
    <t>記</t>
  </si>
  <si>
    <t>2．法人契約用</t>
  </si>
  <si>
    <t>事業名称</t>
  </si>
  <si>
    <t>実施日</t>
  </si>
  <si>
    <r>
      <rPr>
        <sz val="11"/>
        <color indexed="8"/>
        <rFont val="ＭＳ Ｐゴシック"/>
      </rPr>
      <t>　　　２０２２ 年　</t>
    </r>
    <r>
      <rPr>
        <sz val="11"/>
        <color indexed="8"/>
        <rFont val="ＭＳ Ｐゴシック"/>
      </rPr>
      <t>４</t>
    </r>
    <r>
      <rPr>
        <sz val="11"/>
        <color indexed="8"/>
        <rFont val="ＭＳ Ｐゴシック"/>
      </rPr>
      <t>月　</t>
    </r>
    <r>
      <rPr>
        <sz val="11"/>
        <color indexed="8"/>
        <rFont val="ＭＳ Ｐゴシック"/>
      </rPr>
      <t>１４</t>
    </r>
    <r>
      <rPr>
        <sz val="11"/>
        <color indexed="8"/>
        <rFont val="ＭＳ Ｐゴシック"/>
      </rPr>
      <t>日（</t>
    </r>
    <r>
      <rPr>
        <sz val="11"/>
        <color indexed="8"/>
        <rFont val="ＭＳ Ｐゴシック"/>
      </rPr>
      <t>木</t>
    </r>
    <r>
      <rPr>
        <sz val="11"/>
        <color indexed="8"/>
        <rFont val="ＭＳ Ｐゴシック"/>
      </rPr>
      <t>）　　　　　　　　</t>
    </r>
  </si>
  <si>
    <t>時　間</t>
  </si>
  <si>
    <t>：　～　：　　（　分間）</t>
  </si>
  <si>
    <t>場　所</t>
  </si>
  <si>
    <t>佐賀青年会議所会館２F</t>
  </si>
  <si>
    <t>注！！</t>
  </si>
  <si>
    <t>出演者名</t>
  </si>
  <si>
    <t>野見山　茂　様</t>
  </si>
  <si>
    <t>テーマ［　私のCSO活動　ーさが・こども未来応援プロジェクトー　]</t>
  </si>
  <si>
    <t>契約種別、計算方法に応じた欄に金額を記入してください。</t>
  </si>
  <si>
    <t>出演者と契約者（本承諾者）との関係　　本人 ・ 契約者に所属する者 ・ 契約者から出演委託を受けた者</t>
  </si>
  <si>
    <t>計算結果が謝礼金等内訳に自動的に反映されます。</t>
  </si>
  <si>
    <t>　講演等の形式</t>
  </si>
  <si>
    <t>１．講演</t>
  </si>
  <si>
    <t>２．対談</t>
  </si>
  <si>
    <t>３．パネルディスカッション</t>
  </si>
  <si>
    <t>４．その他(      　　　　　     )</t>
  </si>
  <si>
    <t>貼付収入印紙一覧表</t>
  </si>
  <si>
    <t>　契約の種別</t>
  </si>
  <si>
    <t>１．個人契約</t>
  </si>
  <si>
    <t>支払金額</t>
  </si>
  <si>
    <t>印紙税額</t>
  </si>
  <si>
    <t>200円</t>
  </si>
  <si>
    <t>未記載及び0円</t>
  </si>
  <si>
    <t>謝礼金等内訳</t>
  </si>
  <si>
    <t>非課税</t>
  </si>
  <si>
    <t>1円以上</t>
  </si>
  <si>
    <t>ⅰ.謝礼金（消費税込支払金額）</t>
  </si>
  <si>
    <t>円</t>
  </si>
  <si>
    <t>１万円以上</t>
  </si>
  <si>
    <t>（うち消費税</t>
  </si>
  <si>
    <t>円）　</t>
  </si>
  <si>
    <t>１００万円以下</t>
  </si>
  <si>
    <t>（源泉所得税</t>
  </si>
  <si>
    <t>円 ※1）</t>
  </si>
  <si>
    <t>400円</t>
  </si>
  <si>
    <t>１００万円超</t>
  </si>
  <si>
    <t>２００万円以下</t>
  </si>
  <si>
    <t>1,000円</t>
  </si>
  <si>
    <t>２００万円超</t>
  </si>
  <si>
    <t>ⅱ.交通費</t>
  </si>
  <si>
    <t>１．謝礼に含む</t>
  </si>
  <si>
    <r>
      <rPr>
        <sz val="11"/>
        <color indexed="8"/>
        <rFont val="ＭＳ Ｐゴシック"/>
      </rPr>
      <t>2．謝礼に含まない　　※2）</t>
    </r>
  </si>
  <si>
    <t>3．掛からない</t>
  </si>
  <si>
    <t>３００万円以下</t>
  </si>
  <si>
    <t>2,000円</t>
  </si>
  <si>
    <t>３００万円超</t>
  </si>
  <si>
    <t>ⅲ.宿泊費</t>
  </si>
  <si>
    <t>2．謝礼に含まない　　※2）</t>
  </si>
  <si>
    <t>５００万円以下</t>
  </si>
  <si>
    <t>※印紙税額は、消費税課税前の金額にて算出します。</t>
  </si>
  <si>
    <t>※1　　個人契約の場合は原則として源泉所得税が適用となり、税金は差引きの上、佐賀ＪＣから納付します。</t>
  </si>
  <si>
    <t>※様式６は印紙税法上の２号文書（請負に関する契約書）に該当します。</t>
  </si>
  <si>
    <t>※2　　講師の交通費、宿泊費を上記謝礼に含まない場合で本会計から交通費、宿泊費金を支出する場合は、必要な費用を、別途、講師関係費で予算計上してください。</t>
  </si>
  <si>
    <t>※契約形態が個人で源泉が発生する場合にはマイナンバーに関する書式</t>
  </si>
  <si>
    <t>　 (規則様式4別表)が必要となりますが、絶対にデータ化したり、参考資料</t>
  </si>
  <si>
    <t>　 として議案書へ添付してはいけません。</t>
  </si>
  <si>
    <t>　 また、マイナンバー取得後に、万が一、講師が変更になった場合は、</t>
  </si>
  <si>
    <t>　 本会事務局において破棄して下さい。担当委員会は、本会事務局で</t>
  </si>
  <si>
    <t>支払総額</t>
  </si>
  <si>
    <t>　 破棄されたことを確認して下さい。</t>
  </si>
  <si>
    <t>円（源泉所得税を除く謝礼＋実費立替）</t>
  </si>
  <si>
    <t>お支払口座</t>
  </si>
  <si>
    <t>■金融機関名</t>
  </si>
  <si>
    <t>■支店名</t>
  </si>
  <si>
    <t>■普通・当座　</t>
  </si>
  <si>
    <t>■口座番号</t>
  </si>
  <si>
    <t>■口座名義人</t>
  </si>
  <si>
    <r>
      <rPr>
        <sz val="11"/>
        <color indexed="8"/>
        <rFont val="ＭＳ Ｐゴシック"/>
      </rPr>
      <t>■</t>
    </r>
    <r>
      <rPr>
        <sz val="9"/>
        <color indexed="8"/>
        <rFont val="ＭＳ Ｐゴシック"/>
      </rPr>
      <t>口座名義人フリガナ</t>
    </r>
  </si>
  <si>
    <t>支払予定日</t>
  </si>
  <si>
    <t>２０２２ 年　　　月　　　日</t>
  </si>
  <si>
    <t>注１</t>
  </si>
  <si>
    <t>本件出演依頼に際し、一般社団法人 佐賀青年会議所において作成した下記成果物の権利については、一般社団法人 佐賀青年会議所に帰属するものとしてその利用を承諾致します。</t>
  </si>
  <si>
    <t>（１）</t>
  </si>
  <si>
    <t>講演等出演に関する事前広報について、新聞、テレビ、ラジオ等の各種広告媒体並びに一般社団法人 佐賀青年会議所ホームページ及び広報誌への指定を受けた写真の掲載　及び講演要旨、講師プロフィールの掲載</t>
  </si>
  <si>
    <t>（２）</t>
  </si>
  <si>
    <t>講演中の講師の写真撮影</t>
  </si>
  <si>
    <t xml:space="preserve">        講師等出演依頼承諾書　裏面</t>
  </si>
  <si>
    <t>（３）</t>
  </si>
  <si>
    <t>講演の録音、録画、及び他会場への同時中継、並びに一般社団法人 佐賀青年会議所ホームページ他、インターネットを利用した同時無償配信（但し、一般社団法人佐賀青年会議所が指定した者の利用も含む事とします）</t>
  </si>
  <si>
    <t>（４）</t>
  </si>
  <si>
    <t>講演内容の文章化、または要旨の作成</t>
  </si>
  <si>
    <t>（５）</t>
  </si>
  <si>
    <t>文章化済み講演、要旨作成済み講演、または講師が講演にて自ら使用した資料、その他講演中撮影された写真につき、広報誌への掲載、複製、または貸与</t>
  </si>
  <si>
    <t>（６）</t>
  </si>
  <si>
    <t>前項（５）につき、一般社団法人 佐賀青年会議所ホームページ他、インターネットを利用した無償配信（但し、一般社団法人 佐賀青年会議所が指定した者の利用も含む事とします）</t>
  </si>
  <si>
    <t>（７）</t>
  </si>
  <si>
    <t>録音・録画済みの講演（以下、単に録画物とする）、講師が講演にて自ら使用した資料、その他講演中に撮影された写真の複製、及び無償での貸与</t>
  </si>
  <si>
    <t>（８）</t>
  </si>
  <si>
    <t>録画物の無償上映、及び出演者が講演にて自ら使用した資料の視聴者あての複製、配布</t>
  </si>
  <si>
    <t>（９）</t>
  </si>
  <si>
    <t>録画物、出演者が講演等にて自ら使用した資料、及び講演等で撮影した画像・動画につき、一般社団法人 佐賀青年会議所ホームページ他、インターネットを利用した無償配信（ただし、一般社団法人 佐賀青年会議所が指定した者の利用も含む事とします）　</t>
  </si>
  <si>
    <t xml:space="preserve">（10）
</t>
  </si>
  <si>
    <t>一般社団法人 佐賀青年会議所ホームページ他、インターネットを利用した各種配信につき、この配信期間については、２年間の配信とします。ただし、期間満了後、出演者（契約者）より申し出がない限り、一般社団法人 佐賀青年会議所ホームページ他、インターネットを利用した配信を終了するまでの間、継続して公開することに異議ありません。</t>
  </si>
  <si>
    <t>注２　</t>
  </si>
  <si>
    <t>出演者が講演等で使用した資料のみを利用する場合（文章化したもの、録音・録画、または録画物とあわせて利用しない場合）は、注１の規定と異なり、別途許諾を得るものとします。また、類型のなき利用態様については別途協議の上、利用の可否・対価等につき決するものとします。</t>
  </si>
  <si>
    <t>注３　</t>
  </si>
  <si>
    <t>一般社団法人 佐賀青年会議所（インターネットを利用する配信の場合は、一般社団法人 佐賀青年会議所の指定する者も含む）が、講演等の文章化・要旨の作成等を行うときには、事前に内容確認を行うものとします。なお、上記（３）中の一般社団法人 佐賀青年会議所が指定した者は下記のとおりとします。</t>
  </si>
  <si>
    <t>　　　　　Twitter          (http://twitter.com/)</t>
  </si>
  <si>
    <t>LINE                (http://line.me/ja/)</t>
  </si>
  <si>
    <t>　　　　　Facebook      (http://www.facebook.com/)</t>
  </si>
  <si>
    <t>e-みらせん       (http://e-mirasen.jp/)</t>
  </si>
  <si>
    <t>　　　　　Youtube        (http://www.youtube.com/)</t>
  </si>
  <si>
    <t>ニコニコ生放送  (http://live.nicovideo.jp/)</t>
  </si>
  <si>
    <t>　　　　　Ustream        (http://www.ustream.tv/)</t>
  </si>
  <si>
    <t>注４　</t>
  </si>
  <si>
    <t>本件、出演依頼の内諾にあたり、講演の内容が第三者の著作権、その他第三者の権利を侵害するものでないことを保証します。また、第三者が著作権等を有する著作物等を講演において使用する場合は、事前にその内容を明らかにし、講師において当該許諾者の許諾を受けた上で講演を行うものとします。</t>
  </si>
  <si>
    <t>注５　</t>
  </si>
  <si>
    <t>源泉所得税発生時、税務書類作成事務の為、契約者は一般社団法人 佐賀青年会議所へマイナンバーを提供するとともに、一般社団法人 佐賀青年会議所は、取得したマイナンバーを適切に管理・保管・破棄し、税務書類作成事務以外に使用しないものとします。また、マイナンバー取得後に、講師が変更になった場合は、本会事務局において様式４別表を破棄させていただきます。</t>
  </si>
  <si>
    <t>注６</t>
  </si>
  <si>
    <t>講師より提供された個人情報については、一般社団法人 佐賀青年会議所個人情報管理規程により、厳格に管理願います。</t>
  </si>
  <si>
    <t>注7</t>
  </si>
  <si>
    <t>本承諾書記載の事業実施日３０日前を経過後の貴団体都合によるキャンセルの場合は、謝礼金の1０％相当額（源泉所得税額・消費税額を除く）を違約金として申し受けます。</t>
  </si>
  <si>
    <t>注８　</t>
  </si>
  <si>
    <t>契約者（本承諾者）と出演者が異なる場合、契約者は本承諾書面の内容を出演者に通知します。</t>
  </si>
  <si>
    <t>注９</t>
  </si>
  <si>
    <t>同意できない条項又は内容の変更がある場合は、二重線で削除のうえ、訂正印を押印ください。</t>
  </si>
  <si>
    <t>出演者(契約者)</t>
  </si>
  <si>
    <t>　　　　　住所</t>
  </si>
  <si>
    <t>住所</t>
  </si>
  <si>
    <t>武雄市北方町志久3193-15</t>
  </si>
  <si>
    <t>署名捺印</t>
  </si>
  <si>
    <t>野見山　茂</t>
  </si>
  <si>
    <t>印</t>
  </si>
  <si>
    <t>　　　　　電話番号</t>
  </si>
</sst>
</file>

<file path=xl/styles.xml><?xml version="1.0" encoding="utf-8"?>
<styleSheet xmlns="http://schemas.openxmlformats.org/spreadsheetml/2006/main">
  <numFmts count="5">
    <numFmt numFmtId="0" formatCode="General"/>
    <numFmt numFmtId="59" formatCode="#,##0&quot; &quot;"/>
    <numFmt numFmtId="60" formatCode="#,##0.0&quot; &quot;;(#,##0.0)"/>
    <numFmt numFmtId="61" formatCode="#,##0&quot; &quot;;(#,##0)"/>
    <numFmt numFmtId="62" formatCode="#,##0&quot;円&quot;;&quot;-&quot;#,##0&quot;円&quot;"/>
  </numFmts>
  <fonts count="10">
    <font>
      <sz val="11"/>
      <color indexed="8"/>
      <name val="ＭＳ Ｐゴシック"/>
    </font>
    <font>
      <sz val="12"/>
      <color indexed="8"/>
      <name val="ヒラギノ角ゴ ProN W3"/>
    </font>
    <font>
      <sz val="15"/>
      <color indexed="8"/>
      <name val="Calibri"/>
    </font>
    <font>
      <sz val="12"/>
      <color indexed="8"/>
      <name val="ＭＳ Ｐゴシック"/>
    </font>
    <font>
      <sz val="10"/>
      <color indexed="8"/>
      <name val="ＭＳ Ｐゴシック"/>
    </font>
    <font>
      <sz val="9"/>
      <color indexed="8"/>
      <name val="ＭＳ Ｐゴシック"/>
    </font>
    <font>
      <sz val="18"/>
      <color indexed="8"/>
      <name val="ＭＳ Ｐゴシック"/>
    </font>
    <font>
      <sz val="10"/>
      <color indexed="8"/>
      <name val="ＭＳ Ｐゴシック"/>
    </font>
    <font>
      <sz val="8"/>
      <color indexed="8"/>
      <name val="ＭＳ Ｐゴシック"/>
    </font>
    <font>
      <sz val="9"/>
      <color indexed="8"/>
      <name val="ＭＳ Ｐゴシック"/>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4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thin">
        <color indexed="10"/>
      </top>
      <bottom style="thin">
        <color indexed="10"/>
      </bottom>
      <diagonal/>
    </border>
    <border>
      <left style="thin">
        <color indexed="8"/>
      </left>
      <right style="thin">
        <color indexed="8"/>
      </right>
      <top style="thin">
        <color indexed="8"/>
      </top>
      <bottom style="thin">
        <color indexed="10"/>
      </bottom>
      <diagonal/>
    </border>
    <border>
      <left style="thin">
        <color indexed="8"/>
      </left>
      <right style="medium">
        <color indexed="8"/>
      </right>
      <top style="thin">
        <color indexed="10"/>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medium">
        <color indexed="8"/>
      </top>
      <bottom style="thin">
        <color indexed="10"/>
      </bottom>
      <diagonal/>
    </border>
    <border>
      <left style="thin">
        <color indexed="10"/>
      </left>
      <right style="thin">
        <color indexed="10"/>
      </right>
      <top style="medium">
        <color indexed="8"/>
      </top>
      <bottom style="thin">
        <color indexed="10"/>
      </bottom>
      <diagonal/>
    </border>
    <border>
      <left style="medium">
        <color indexed="8"/>
      </left>
      <right style="thin">
        <color indexed="8"/>
      </right>
      <top style="thin">
        <color indexed="10"/>
      </top>
      <bottom style="thin">
        <color indexed="8"/>
      </bottom>
      <diagonal/>
    </border>
    <border>
      <left style="thin">
        <color indexed="8"/>
      </left>
      <right style="thin">
        <color indexed="8"/>
      </right>
      <top style="thin">
        <color indexed="10"/>
      </top>
      <bottom style="thin">
        <color indexed="8"/>
      </bottom>
      <diagonal/>
    </border>
    <border>
      <left style="thin">
        <color indexed="10"/>
      </left>
      <right style="thin">
        <color indexed="10"/>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10"/>
      </right>
      <top style="thin">
        <color indexed="10"/>
      </top>
      <bottom style="thin">
        <color indexed="10"/>
      </bottom>
      <diagonal/>
    </border>
    <border>
      <left style="thin">
        <color indexed="10"/>
      </left>
      <right style="thin">
        <color indexed="10"/>
      </right>
      <top style="thin">
        <color indexed="10"/>
      </top>
      <bottom style="medium">
        <color indexed="13"/>
      </bottom>
      <diagonal/>
    </border>
    <border>
      <left style="thin">
        <color indexed="10"/>
      </left>
      <right style="medium">
        <color indexed="13"/>
      </right>
      <top style="thin">
        <color indexed="10"/>
      </top>
      <bottom style="thin">
        <color indexed="10"/>
      </bottom>
      <diagonal/>
    </border>
    <border>
      <left style="medium">
        <color indexed="13"/>
      </left>
      <right style="medium">
        <color indexed="13"/>
      </right>
      <top style="medium">
        <color indexed="13"/>
      </top>
      <bottom style="medium">
        <color indexed="13"/>
      </bottom>
      <diagonal/>
    </border>
    <border>
      <left style="medium">
        <color indexed="13"/>
      </left>
      <right/>
      <top style="medium">
        <color indexed="13"/>
      </top>
      <bottom style="medium">
        <color indexed="13"/>
      </bottom>
      <diagonal/>
    </border>
    <border>
      <left/>
      <right style="medium">
        <color indexed="13"/>
      </right>
      <top style="medium">
        <color indexed="13"/>
      </top>
      <bottom style="medium">
        <color indexed="13"/>
      </bottom>
      <diagonal/>
    </border>
    <border>
      <left style="medium">
        <color indexed="13"/>
      </left>
      <right style="thin">
        <color indexed="10"/>
      </right>
      <top style="thin">
        <color indexed="10"/>
      </top>
      <bottom style="thin">
        <color indexed="10"/>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style="medium">
        <color indexed="13"/>
      </top>
      <bottom style="thin">
        <color indexed="10"/>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top/>
      <bottom style="thin">
        <color indexed="10"/>
      </bottom>
      <diagonal/>
    </border>
    <border>
      <left/>
      <right style="thin">
        <color indexed="10"/>
      </right>
      <top style="thin">
        <color indexed="10"/>
      </top>
      <bottom style="thin">
        <color indexed="10"/>
      </bottom>
      <diagonal/>
    </border>
    <border>
      <left style="thin">
        <color indexed="10"/>
      </left>
      <right/>
      <top style="thin">
        <color indexed="10"/>
      </top>
      <bottom/>
      <diagonal/>
    </border>
    <border>
      <left style="thin">
        <color indexed="10"/>
      </left>
      <right/>
      <top/>
      <bottom/>
      <diagonal/>
    </border>
    <border>
      <left/>
      <right style="thin">
        <color indexed="10"/>
      </right>
      <top/>
      <bottom style="thin">
        <color indexed="10"/>
      </bottom>
      <diagonal/>
    </border>
    <border>
      <left style="thin">
        <color indexed="10"/>
      </left>
      <right style="thin">
        <color indexed="10"/>
      </right>
      <top/>
      <bottom/>
      <diagonal/>
    </border>
  </borders>
  <cellStyleXfs count="1">
    <xf numFmtId="0" fontId="0" applyNumberFormat="0" applyFont="1" applyFill="0" applyBorder="0" applyAlignment="1" applyProtection="0">
      <alignment vertical="bottom"/>
    </xf>
  </cellStyleXfs>
  <cellXfs count="15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fillId="2" borderId="1" applyNumberFormat="0" applyFont="1" applyFill="1" applyBorder="1" applyAlignment="1" applyProtection="0">
      <alignment vertical="bottom"/>
    </xf>
    <xf numFmtId="0" fontId="0" fillId="2" borderId="1" applyNumberFormat="0" applyFont="1" applyFill="1" applyBorder="1" applyAlignment="1" applyProtection="0">
      <alignment vertical="center"/>
    </xf>
    <xf numFmtId="49" fontId="0" fillId="2" borderId="1" applyNumberFormat="1" applyFont="1" applyFill="1" applyBorder="1" applyAlignment="1" applyProtection="0">
      <alignment horizontal="right" vertical="center"/>
    </xf>
    <xf numFmtId="0" fontId="0" fillId="2" borderId="1" applyNumberFormat="0" applyFont="1" applyFill="1" applyBorder="1" applyAlignment="1" applyProtection="0">
      <alignment horizontal="center" vertical="center"/>
    </xf>
    <xf numFmtId="49" fontId="0" fillId="2" borderId="1" applyNumberFormat="1" applyFont="1" applyFill="1" applyBorder="1" applyAlignment="1" applyProtection="0">
      <alignment horizontal="right" vertical="bottom"/>
    </xf>
    <xf numFmtId="49" fontId="3" fillId="2" borderId="2"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horizontal="right" vertical="center"/>
    </xf>
    <xf numFmtId="49" fontId="0" fillId="2" borderId="4" applyNumberFormat="1" applyFont="1" applyFill="1" applyBorder="1" applyAlignment="1" applyProtection="0">
      <alignment horizontal="lef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49" fontId="4" fillId="2" borderId="1" applyNumberFormat="1" applyFont="1" applyFill="1" applyBorder="1" applyAlignment="1" applyProtection="0">
      <alignment vertical="center"/>
    </xf>
    <xf numFmtId="0" fontId="4" fillId="2" borderId="1" applyNumberFormat="0" applyFont="1" applyFill="1" applyBorder="1" applyAlignment="1" applyProtection="0">
      <alignment vertical="center"/>
    </xf>
    <xf numFmtId="0" fontId="0" fillId="2" borderId="1" applyNumberFormat="0" applyFont="1" applyFill="1" applyBorder="1" applyAlignment="1" applyProtection="0">
      <alignment horizontal="right" vertical="center"/>
    </xf>
    <xf numFmtId="49" fontId="0" fillId="2" borderId="8" applyNumberFormat="1" applyFont="1" applyFill="1" applyBorder="1" applyAlignment="1" applyProtection="0">
      <alignment vertical="bottom"/>
    </xf>
    <xf numFmtId="0" fontId="0" fillId="2" borderId="9"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xf>
    <xf numFmtId="0" fontId="4" fillId="2" borderId="1" applyNumberFormat="0" applyFont="1" applyFill="1" applyBorder="1" applyAlignment="1" applyProtection="0">
      <alignment horizontal="right" vertical="center"/>
    </xf>
    <xf numFmtId="0" fontId="0" fillId="2" borderId="2" applyNumberFormat="0" applyFont="1" applyFill="1" applyBorder="1" applyAlignment="1" applyProtection="0">
      <alignment vertical="center"/>
    </xf>
    <xf numFmtId="0" fontId="0" fillId="2" borderId="10" applyNumberFormat="0" applyFont="1" applyFill="1" applyBorder="1" applyAlignment="1" applyProtection="0">
      <alignment vertical="center"/>
    </xf>
    <xf numFmtId="49" fontId="0" fillId="2" borderId="11" applyNumberFormat="1" applyFont="1" applyFill="1" applyBorder="1" applyAlignment="1" applyProtection="0">
      <alignment horizontal="center" vertical="bottom"/>
    </xf>
    <xf numFmtId="0" fontId="0" fillId="2" borderId="12" applyNumberFormat="0" applyFont="1" applyFill="1" applyBorder="1" applyAlignment="1" applyProtection="0">
      <alignment vertical="bottom"/>
    </xf>
    <xf numFmtId="0" fontId="0" fillId="2" borderId="3" applyNumberFormat="0" applyFont="1" applyFill="1" applyBorder="1" applyAlignment="1" applyProtection="0">
      <alignment vertical="center"/>
    </xf>
    <xf numFmtId="49" fontId="5" fillId="2" borderId="13" applyNumberFormat="1" applyFont="1" applyFill="1" applyBorder="1" applyAlignment="1" applyProtection="0">
      <alignment horizontal="center" vertical="top"/>
    </xf>
    <xf numFmtId="0" fontId="0" fillId="2" borderId="14" applyNumberFormat="0" applyFont="1" applyFill="1" applyBorder="1" applyAlignment="1" applyProtection="0">
      <alignment vertical="center"/>
    </xf>
    <xf numFmtId="59" fontId="0" fillId="3" borderId="11" applyNumberFormat="1" applyFont="1" applyFill="1" applyBorder="1" applyAlignment="1" applyProtection="0">
      <alignment vertical="bottom"/>
    </xf>
    <xf numFmtId="49" fontId="0" fillId="2" borderId="11" applyNumberFormat="1" applyFont="1" applyFill="1" applyBorder="1" applyAlignment="1" applyProtection="0">
      <alignment vertical="bottom"/>
    </xf>
    <xf numFmtId="49" fontId="6" fillId="2" borderId="1" applyNumberFormat="1" applyFont="1" applyFill="1" applyBorder="1" applyAlignment="1" applyProtection="0">
      <alignment horizontal="center" vertical="center"/>
    </xf>
    <xf numFmtId="0" fontId="6" fillId="2" borderId="1" applyNumberFormat="0" applyFont="1" applyFill="1" applyBorder="1" applyAlignment="1" applyProtection="0">
      <alignment horizontal="center" vertical="center"/>
    </xf>
    <xf numFmtId="0" fontId="6" fillId="2" borderId="3" applyNumberFormat="0" applyFont="1" applyFill="1" applyBorder="1" applyAlignment="1" applyProtection="0">
      <alignment horizontal="center" vertical="center"/>
    </xf>
    <xf numFmtId="0" fontId="3" fillId="2" borderId="15" applyNumberFormat="0" applyFont="1" applyFill="1" applyBorder="1" applyAlignment="1" applyProtection="0">
      <alignment horizontal="center" vertical="center" wrapText="1"/>
    </xf>
    <xf numFmtId="0" fontId="6" fillId="2" borderId="15" applyNumberFormat="0" applyFont="1" applyFill="1" applyBorder="1" applyAlignment="1" applyProtection="0">
      <alignment horizontal="center" vertical="center"/>
    </xf>
    <xf numFmtId="59" fontId="0" fillId="2" borderId="16" applyNumberFormat="1" applyFont="1" applyFill="1" applyBorder="1" applyAlignment="1" applyProtection="0">
      <alignment vertical="bottom"/>
    </xf>
    <xf numFmtId="0" fontId="0" fillId="2" borderId="17" applyNumberFormat="0" applyFont="1" applyFill="1" applyBorder="1" applyAlignment="1" applyProtection="0">
      <alignment vertical="bottom"/>
    </xf>
    <xf numFmtId="60" fontId="0" fillId="2" borderId="17" applyNumberFormat="1" applyFont="1" applyFill="1" applyBorder="1" applyAlignment="1" applyProtection="0">
      <alignment vertical="bottom"/>
    </xf>
    <xf numFmtId="61" fontId="0" fillId="2" borderId="7" applyNumberFormat="1" applyFont="1" applyFill="1" applyBorder="1" applyAlignment="1" applyProtection="0">
      <alignment vertical="bottom"/>
    </xf>
    <xf numFmtId="0" fontId="0" fillId="2" borderId="15" applyNumberFormat="0" applyFont="1" applyFill="1" applyBorder="1" applyAlignment="1" applyProtection="0">
      <alignment vertical="bottom"/>
    </xf>
    <xf numFmtId="0" fontId="0" fillId="2" borderId="15" applyNumberFormat="0" applyFont="1" applyFill="1" applyBorder="1" applyAlignment="1" applyProtection="0">
      <alignment vertical="center"/>
    </xf>
    <xf numFmtId="49" fontId="0" fillId="2" borderId="1" applyNumberFormat="1" applyFont="1" applyFill="1" applyBorder="1" applyAlignment="1" applyProtection="0">
      <alignment horizontal="left" vertical="center" wrapText="1"/>
    </xf>
    <xf numFmtId="0" fontId="0" fillId="2" borderId="1" applyNumberFormat="0" applyFont="1" applyFill="1" applyBorder="1" applyAlignment="1" applyProtection="0">
      <alignment horizontal="left" vertical="center" wrapText="1"/>
    </xf>
    <xf numFmtId="0" fontId="0" fillId="2" borderId="3" applyNumberFormat="0" applyFont="1" applyFill="1" applyBorder="1" applyAlignment="1" applyProtection="0">
      <alignment horizontal="left" vertical="center" wrapText="1"/>
    </xf>
    <xf numFmtId="0" fontId="0" fillId="2" borderId="14" applyNumberFormat="0" applyFont="1" applyFill="1" applyBorder="1" applyAlignment="1" applyProtection="0">
      <alignment horizontal="left" vertical="center" wrapText="1"/>
    </xf>
    <xf numFmtId="61" fontId="0" fillId="3" borderId="11" applyNumberFormat="1" applyFont="1" applyFill="1" applyBorder="1" applyAlignment="1" applyProtection="0">
      <alignment vertical="bottom"/>
    </xf>
    <xf numFmtId="0" fontId="0" fillId="2" borderId="18" applyNumberFormat="0" applyFont="1" applyFill="1" applyBorder="1" applyAlignment="1" applyProtection="0">
      <alignment vertical="bottom"/>
    </xf>
    <xf numFmtId="0" fontId="0" fillId="2" borderId="19" applyNumberFormat="0" applyFont="1" applyFill="1" applyBorder="1" applyAlignment="1" applyProtection="0">
      <alignment vertical="bottom"/>
    </xf>
    <xf numFmtId="0" fontId="0" fillId="2" borderId="7" applyNumberFormat="0" applyFont="1" applyFill="1" applyBorder="1" applyAlignment="1" applyProtection="0">
      <alignment horizontal="left" vertical="center" wrapText="1"/>
    </xf>
    <xf numFmtId="0" fontId="0" fillId="2" borderId="20" applyNumberFormat="0" applyFont="1" applyFill="1" applyBorder="1" applyAlignment="1" applyProtection="0">
      <alignment vertical="bottom"/>
    </xf>
    <xf numFmtId="49" fontId="0" fillId="2" borderId="1" applyNumberFormat="1" applyFont="1" applyFill="1" applyBorder="1" applyAlignment="1" applyProtection="0">
      <alignment horizontal="center" vertical="center"/>
    </xf>
    <xf numFmtId="0" fontId="0" fillId="2" borderId="5" applyNumberFormat="0" applyFont="1" applyFill="1" applyBorder="1" applyAlignment="1" applyProtection="0">
      <alignment horizontal="center" vertical="center"/>
    </xf>
    <xf numFmtId="0" fontId="0" fillId="2" borderId="3" applyNumberFormat="0" applyFont="1" applyFill="1" applyBorder="1" applyAlignment="1" applyProtection="0">
      <alignment horizontal="center" vertical="center"/>
    </xf>
    <xf numFmtId="49" fontId="0" fillId="2" borderId="21" applyNumberFormat="1" applyFont="1" applyFill="1" applyBorder="1" applyAlignment="1" applyProtection="0">
      <alignment horizontal="left" vertical="bottom"/>
    </xf>
    <xf numFmtId="61"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center"/>
    </xf>
    <xf numFmtId="0" fontId="0" fillId="2" borderId="1" applyNumberFormat="0" applyFont="1" applyFill="1" applyBorder="1" applyAlignment="1" applyProtection="0">
      <alignment horizontal="center" vertical="top" wrapText="1"/>
    </xf>
    <xf numFmtId="61" fontId="0" fillId="2" borderId="22" applyNumberFormat="1" applyFont="1" applyFill="1" applyBorder="1" applyAlignment="1" applyProtection="0">
      <alignment vertical="bottom"/>
    </xf>
    <xf numFmtId="49" fontId="0" fillId="2" borderId="1" applyNumberFormat="1" applyFont="1" applyFill="1" applyBorder="1" applyAlignment="1" applyProtection="0">
      <alignment horizontal="left" vertical="center"/>
    </xf>
    <xf numFmtId="0" fontId="0" fillId="2" borderId="1" applyNumberFormat="0" applyFont="1" applyFill="1" applyBorder="1" applyAlignment="1" applyProtection="0">
      <alignment horizontal="left" vertical="center"/>
    </xf>
    <xf numFmtId="49" fontId="0" fillId="2" borderId="9" applyNumberFormat="1" applyFont="1" applyFill="1" applyBorder="1" applyAlignment="1" applyProtection="0">
      <alignment vertical="bottom"/>
    </xf>
    <xf numFmtId="49" fontId="0" fillId="2" borderId="1" applyNumberFormat="1" applyFont="1" applyFill="1" applyBorder="1" applyAlignment="1" applyProtection="0">
      <alignment horizontal="center" vertical="center" wrapText="1"/>
    </xf>
    <xf numFmtId="0" fontId="0" fillId="2" borderId="1" applyNumberFormat="0" applyFont="1" applyFill="1" applyBorder="1" applyAlignment="1" applyProtection="0">
      <alignment horizontal="center" vertical="center" wrapText="1"/>
    </xf>
    <xf numFmtId="0" fontId="0" fillId="3" borderId="11" applyNumberFormat="0" applyFont="1" applyFill="1" applyBorder="1" applyAlignment="1" applyProtection="0">
      <alignment vertical="bottom"/>
    </xf>
    <xf numFmtId="49" fontId="0" fillId="2" borderId="22"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49" fontId="0" fillId="2" borderId="23"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center"/>
    </xf>
    <xf numFmtId="49" fontId="0" fillId="4" borderId="25" applyNumberFormat="1" applyFont="1" applyFill="1" applyBorder="1" applyAlignment="1" applyProtection="0">
      <alignment horizontal="center" vertical="center" wrapText="1"/>
    </xf>
    <xf numFmtId="49" fontId="0" fillId="4" borderId="26" applyNumberFormat="1" applyFont="1" applyFill="1" applyBorder="1" applyAlignment="1" applyProtection="0">
      <alignment horizontal="center" vertical="center" wrapText="1"/>
    </xf>
    <xf numFmtId="0" fontId="0" fillId="4" borderId="27" applyNumberFormat="0" applyFont="1" applyFill="1" applyBorder="1" applyAlignment="1" applyProtection="0">
      <alignment horizontal="center" vertical="center" wrapText="1"/>
    </xf>
    <xf numFmtId="0" fontId="0" fillId="2" borderId="28" applyNumberFormat="0" applyFont="1" applyFill="1" applyBorder="1" applyAlignment="1" applyProtection="0">
      <alignment vertical="bottom"/>
    </xf>
    <xf numFmtId="62" fontId="0" fillId="2" borderId="25" applyNumberFormat="1" applyFont="1" applyFill="1" applyBorder="1" applyAlignment="1" applyProtection="0">
      <alignment horizontal="right" vertical="center" wrapText="1"/>
    </xf>
    <xf numFmtId="49" fontId="0" fillId="2" borderId="25" applyNumberFormat="1" applyFont="1" applyFill="1" applyBorder="1" applyAlignment="1" applyProtection="0">
      <alignment horizontal="right" vertical="center" wrapText="1"/>
    </xf>
    <xf numFmtId="49" fontId="0" fillId="2" borderId="25" applyNumberFormat="1" applyFont="1" applyFill="1" applyBorder="1" applyAlignment="1" applyProtection="0">
      <alignment horizontal="left" vertical="center" wrapText="1"/>
    </xf>
    <xf numFmtId="61" fontId="0" fillId="2" borderId="2" applyNumberFormat="1" applyFont="1" applyFill="1" applyBorder="1" applyAlignment="1" applyProtection="0">
      <alignment horizontal="right" vertical="center"/>
    </xf>
    <xf numFmtId="49" fontId="0" fillId="2" borderId="2" applyNumberFormat="1" applyFont="1" applyFill="1" applyBorder="1" applyAlignment="1" applyProtection="0">
      <alignment vertical="center"/>
    </xf>
    <xf numFmtId="60" fontId="0" fillId="2" borderId="1" applyNumberFormat="1" applyFont="1" applyFill="1" applyBorder="1" applyAlignment="1" applyProtection="0">
      <alignment vertical="bottom"/>
    </xf>
    <xf numFmtId="0" fontId="7" fillId="2" borderId="1" applyNumberFormat="0" applyFont="1" applyFill="1" applyBorder="1" applyAlignment="1" applyProtection="0">
      <alignment vertical="center"/>
    </xf>
    <xf numFmtId="0" fontId="7" fillId="2" borderId="1" applyNumberFormat="0" applyFont="1" applyFill="1" applyBorder="1" applyAlignment="1" applyProtection="0">
      <alignment horizontal="right" vertical="center"/>
    </xf>
    <xf numFmtId="49" fontId="7" fillId="2" borderId="29" applyNumberFormat="1" applyFont="1" applyFill="1" applyBorder="1" applyAlignment="1" applyProtection="0">
      <alignment vertical="center"/>
    </xf>
    <xf numFmtId="61" fontId="0" fillId="2" borderId="29" applyNumberFormat="1" applyFont="1" applyFill="1" applyBorder="1" applyAlignment="1" applyProtection="0">
      <alignment horizontal="right" vertical="center"/>
    </xf>
    <xf numFmtId="0" fontId="7" fillId="2" borderId="24" applyNumberFormat="0" applyFont="1" applyFill="1" applyBorder="1" applyAlignment="1" applyProtection="0">
      <alignment vertical="center"/>
    </xf>
    <xf numFmtId="49" fontId="0" fillId="2" borderId="29" applyNumberFormat="1" applyFont="1" applyFill="1" applyBorder="1" applyAlignment="1" applyProtection="0">
      <alignment horizontal="right" vertical="center"/>
    </xf>
    <xf numFmtId="49" fontId="7" fillId="2" borderId="1" applyNumberFormat="1" applyFont="1" applyFill="1" applyBorder="1" applyAlignment="1" applyProtection="0">
      <alignment vertical="center"/>
    </xf>
    <xf numFmtId="0" fontId="0" fillId="2" borderId="29" applyNumberFormat="0" applyFont="1" applyFill="1" applyBorder="1" applyAlignment="1" applyProtection="0">
      <alignment vertical="center"/>
    </xf>
    <xf numFmtId="49" fontId="0" fillId="2" borderId="29" applyNumberFormat="1" applyFont="1" applyFill="1" applyBorder="1" applyAlignment="1" applyProtection="0">
      <alignment vertical="center"/>
    </xf>
    <xf numFmtId="0" fontId="7" fillId="2" borderId="5" applyNumberFormat="0" applyFont="1" applyFill="1" applyBorder="1" applyAlignment="1" applyProtection="0">
      <alignment vertical="center"/>
    </xf>
    <xf numFmtId="0" fontId="8" fillId="2" borderId="1" applyNumberFormat="0" applyFont="1" applyFill="1" applyBorder="1" applyAlignment="1" applyProtection="0">
      <alignment vertical="center"/>
    </xf>
    <xf numFmtId="0" fontId="8" fillId="2" borderId="24" applyNumberFormat="0" applyFont="1" applyFill="1" applyBorder="1" applyAlignment="1" applyProtection="0">
      <alignment vertical="center"/>
    </xf>
    <xf numFmtId="0" fontId="0" fillId="2" borderId="30" applyNumberFormat="0" applyFont="1" applyFill="1" applyBorder="1" applyAlignment="1" applyProtection="0">
      <alignment vertical="bottom"/>
    </xf>
    <xf numFmtId="49" fontId="0" fillId="2" borderId="31" applyNumberFormat="1" applyFont="1" applyFill="1" applyBorder="1" applyAlignment="1" applyProtection="0">
      <alignment vertical="bottom"/>
    </xf>
    <xf numFmtId="0" fontId="0" fillId="2" borderId="31" applyNumberFormat="0" applyFont="1" applyFill="1" applyBorder="1" applyAlignment="1" applyProtection="0">
      <alignment vertical="bottom"/>
    </xf>
    <xf numFmtId="0" fontId="8" fillId="2" borderId="32" applyNumberFormat="0" applyFont="1" applyFill="1" applyBorder="1" applyAlignment="1" applyProtection="0">
      <alignment vertical="center"/>
    </xf>
    <xf numFmtId="49" fontId="8" fillId="2" borderId="33" applyNumberFormat="1" applyFont="1" applyFill="1" applyBorder="1" applyAlignment="1" applyProtection="0">
      <alignment vertical="center"/>
    </xf>
    <xf numFmtId="0" fontId="8" fillId="2" borderId="33" applyNumberFormat="0" applyFont="1" applyFill="1" applyBorder="1" applyAlignment="1" applyProtection="0">
      <alignment vertical="center"/>
    </xf>
    <xf numFmtId="0" fontId="0" fillId="2" borderId="34" applyNumberFormat="0" applyFont="1" applyFill="1" applyBorder="1" applyAlignment="1" applyProtection="0">
      <alignment vertical="center"/>
    </xf>
    <xf numFmtId="49" fontId="8" fillId="2" borderId="35" applyNumberFormat="1" applyFont="1" applyFill="1" applyBorder="1" applyAlignment="1" applyProtection="0">
      <alignment vertical="center" wrapText="1"/>
    </xf>
    <xf numFmtId="0" fontId="0" fillId="2" borderId="35" applyNumberFormat="0" applyFont="1" applyFill="1" applyBorder="1" applyAlignment="1" applyProtection="0">
      <alignment vertical="bottom" wrapText="1"/>
    </xf>
    <xf numFmtId="0" fontId="0" fillId="2" borderId="36" applyNumberFormat="0" applyFont="1" applyFill="1" applyBorder="1" applyAlignment="1" applyProtection="0">
      <alignment vertical="bottom" wrapText="1"/>
    </xf>
    <xf numFmtId="0" fontId="0" fillId="2" borderId="33" applyNumberFormat="0" applyFont="1" applyFill="1" applyBorder="1" applyAlignment="1" applyProtection="0">
      <alignment vertical="center"/>
    </xf>
    <xf numFmtId="0" fontId="0" fillId="2" borderId="37" applyNumberFormat="0" applyFont="1" applyFill="1" applyBorder="1" applyAlignment="1" applyProtection="0">
      <alignment vertical="center"/>
    </xf>
    <xf numFmtId="0" fontId="0" fillId="2" borderId="1" applyNumberFormat="0" applyFont="1" applyFill="1" applyBorder="1" applyAlignment="1" applyProtection="0">
      <alignment vertical="bottom" wrapText="1"/>
    </xf>
    <xf numFmtId="0" fontId="0" fillId="2" borderId="32" applyNumberFormat="0" applyFont="1" applyFill="1" applyBorder="1" applyAlignment="1" applyProtection="0">
      <alignment vertical="bottom" wrapText="1"/>
    </xf>
    <xf numFmtId="0" fontId="8" fillId="2" borderId="37" applyNumberFormat="0" applyFont="1" applyFill="1" applyBorder="1" applyAlignment="1" applyProtection="0">
      <alignment vertical="center"/>
    </xf>
    <xf numFmtId="0" fontId="0" fillId="2" borderId="35" applyNumberFormat="0" applyFont="1" applyFill="1" applyBorder="1" applyAlignment="1" applyProtection="0">
      <alignment vertical="center"/>
    </xf>
    <xf numFmtId="0" fontId="3" fillId="2" borderId="1" applyNumberFormat="0" applyFont="1" applyFill="1" applyBorder="1" applyAlignment="1" applyProtection="0">
      <alignment horizontal="left" vertical="center"/>
    </xf>
    <xf numFmtId="0" fontId="8" fillId="2" borderId="5" applyNumberFormat="0" applyFont="1" applyFill="1" applyBorder="1" applyAlignment="1" applyProtection="0">
      <alignment vertical="center"/>
    </xf>
    <xf numFmtId="0" fontId="0" fillId="2" borderId="5" applyNumberFormat="0" applyFont="1" applyFill="1" applyBorder="1" applyAlignment="1" applyProtection="0">
      <alignment vertical="center"/>
    </xf>
    <xf numFmtId="0" fontId="0" fillId="2" borderId="29" applyNumberFormat="0" applyFont="1" applyFill="1" applyBorder="1" applyAlignment="1" applyProtection="0">
      <alignment horizontal="left" vertical="center"/>
    </xf>
    <xf numFmtId="0" fontId="7" fillId="2" borderId="29" applyNumberFormat="0" applyFont="1" applyFill="1" applyBorder="1" applyAlignment="1" applyProtection="0">
      <alignment horizontal="left" vertical="center"/>
    </xf>
    <xf numFmtId="0" fontId="7" fillId="2" borderId="29" applyNumberFormat="0" applyFont="1" applyFill="1" applyBorder="1" applyAlignment="1" applyProtection="0">
      <alignment vertical="center"/>
    </xf>
    <xf numFmtId="49" fontId="7" fillId="2" borderId="1" applyNumberFormat="1" applyFont="1" applyFill="1" applyBorder="1" applyAlignment="1" applyProtection="0">
      <alignment vertical="top" wrapText="1"/>
    </xf>
    <xf numFmtId="49" fontId="7" fillId="2" borderId="1" applyNumberFormat="1" applyFont="1" applyFill="1" applyBorder="1" applyAlignment="1" applyProtection="0">
      <alignment horizontal="left" vertical="center" wrapText="1"/>
    </xf>
    <xf numFmtId="0" fontId="7" fillId="2" borderId="1" applyNumberFormat="0" applyFont="1" applyFill="1" applyBorder="1" applyAlignment="1" applyProtection="0">
      <alignment horizontal="left" vertical="center" wrapText="1"/>
    </xf>
    <xf numFmtId="0" fontId="7" fillId="2" borderId="1" applyNumberFormat="0" applyFont="1" applyFill="1" applyBorder="1" applyAlignment="1" applyProtection="0">
      <alignment vertical="top"/>
    </xf>
    <xf numFmtId="49" fontId="7" fillId="2" borderId="1" applyNumberFormat="1" applyFont="1" applyFill="1" applyBorder="1" applyAlignment="1" applyProtection="0">
      <alignment horizontal="center" vertical="center" wrapText="1"/>
    </xf>
    <xf numFmtId="49" fontId="7" fillId="2" borderId="1" applyNumberFormat="1" applyFont="1" applyFill="1" applyBorder="1" applyAlignment="1" applyProtection="0">
      <alignment horizontal="center" vertical="center"/>
    </xf>
    <xf numFmtId="49" fontId="7" fillId="2" borderId="1" applyNumberFormat="1" applyFont="1" applyFill="1" applyBorder="1" applyAlignment="1" applyProtection="0">
      <alignment horizontal="left" vertical="center"/>
    </xf>
    <xf numFmtId="0" fontId="7" fillId="2" borderId="1" applyNumberFormat="0" applyFont="1" applyFill="1" applyBorder="1" applyAlignment="1" applyProtection="0">
      <alignment horizontal="left" vertical="center"/>
    </xf>
    <xf numFmtId="0" fontId="7" fillId="2" borderId="1" applyNumberFormat="0" applyFont="1" applyFill="1" applyBorder="1" applyAlignment="1" applyProtection="0">
      <alignment horizontal="center" vertical="center"/>
    </xf>
    <xf numFmtId="0" fontId="7" fillId="2" borderId="1" applyNumberFormat="0" applyFont="1" applyFill="1" applyBorder="1" applyAlignment="1" applyProtection="0">
      <alignment vertical="center" wrapText="1"/>
    </xf>
    <xf numFmtId="49" fontId="0" fillId="2" borderId="1" applyNumberFormat="1" applyFont="1" applyFill="1" applyBorder="1" applyAlignment="1" applyProtection="0">
      <alignment horizontal="center" vertical="bottom" wrapText="1"/>
    </xf>
    <xf numFmtId="49" fontId="7" fillId="2" borderId="1" applyNumberFormat="1" applyFont="1" applyFill="1" applyBorder="1" applyAlignment="1" applyProtection="0">
      <alignment vertical="center" wrapText="1"/>
    </xf>
    <xf numFmtId="49" fontId="7" fillId="2" borderId="1" applyNumberFormat="1" applyFont="1" applyFill="1" applyBorder="1" applyAlignment="1" applyProtection="0">
      <alignment horizontal="left" vertical="bottom" wrapText="1"/>
    </xf>
    <xf numFmtId="0" fontId="7" fillId="2" borderId="1" applyNumberFormat="0" applyFont="1" applyFill="1" applyBorder="1" applyAlignment="1" applyProtection="0">
      <alignment horizontal="left" vertical="bottom" wrapText="1"/>
    </xf>
    <xf numFmtId="0" fontId="7" fillId="2" borderId="1" applyNumberFormat="0" applyFont="1" applyFill="1" applyBorder="1" applyAlignment="1" applyProtection="0">
      <alignment vertical="bottom"/>
    </xf>
    <xf numFmtId="0" fontId="7" fillId="2" borderId="30" applyNumberFormat="0" applyFont="1" applyFill="1" applyBorder="1" applyAlignment="1" applyProtection="0">
      <alignment vertical="center"/>
    </xf>
    <xf numFmtId="0" fontId="0" fillId="2" borderId="38" applyNumberFormat="0" applyFont="1" applyFill="1" applyBorder="1" applyAlignment="1" applyProtection="0">
      <alignment vertical="bottom"/>
    </xf>
    <xf numFmtId="49" fontId="7" fillId="2" borderId="33" applyNumberFormat="1" applyFont="1" applyFill="1" applyBorder="1" applyAlignment="1" applyProtection="0">
      <alignment vertical="center" wrapText="1"/>
    </xf>
    <xf numFmtId="49" fontId="7" fillId="2" borderId="33" applyNumberFormat="1" applyFont="1" applyFill="1" applyBorder="1" applyAlignment="1" applyProtection="0">
      <alignment horizontal="left" vertical="center" wrapText="1"/>
    </xf>
    <xf numFmtId="0" fontId="7" fillId="2" borderId="33" applyNumberFormat="0" applyFont="1" applyFill="1" applyBorder="1" applyAlignment="1" applyProtection="0">
      <alignment horizontal="left" vertical="center" wrapText="1"/>
    </xf>
    <xf numFmtId="0" fontId="0" fillId="2" borderId="37" applyNumberFormat="0" applyFont="1" applyFill="1" applyBorder="1" applyAlignment="1" applyProtection="0">
      <alignment vertical="bottom"/>
    </xf>
    <xf numFmtId="0" fontId="7" fillId="2" borderId="39" applyNumberFormat="0" applyFont="1" applyFill="1" applyBorder="1" applyAlignment="1" applyProtection="0">
      <alignment vertical="center" wrapText="1"/>
    </xf>
    <xf numFmtId="0" fontId="7" fillId="2" borderId="33" applyNumberFormat="0" applyFont="1" applyFill="1" applyBorder="1" applyAlignment="1" applyProtection="0">
      <alignment vertical="center" wrapText="1"/>
    </xf>
    <xf numFmtId="0" fontId="7" fillId="2" borderId="39" applyNumberFormat="0" applyFont="1" applyFill="1" applyBorder="1" applyAlignment="1" applyProtection="0">
      <alignment vertical="center"/>
    </xf>
    <xf numFmtId="0" fontId="7" fillId="2" borderId="40" applyNumberFormat="0" applyFont="1" applyFill="1" applyBorder="1" applyAlignment="1" applyProtection="0">
      <alignment vertical="center"/>
    </xf>
    <xf numFmtId="0" fontId="7" fillId="2" borderId="35" applyNumberFormat="0" applyFont="1" applyFill="1" applyBorder="1" applyAlignment="1" applyProtection="0">
      <alignment vertical="center"/>
    </xf>
    <xf numFmtId="0" fontId="0" fillId="2" borderId="41" applyNumberFormat="0" applyFont="1" applyFill="1" applyBorder="1" applyAlignment="1" applyProtection="0">
      <alignment vertical="bottom"/>
    </xf>
    <xf numFmtId="0" fontId="7" fillId="2" borderId="34" applyNumberFormat="0" applyFont="1" applyFill="1" applyBorder="1" applyAlignment="1" applyProtection="0">
      <alignment vertical="center"/>
    </xf>
    <xf numFmtId="0" fontId="7" fillId="2" borderId="36" applyNumberFormat="0" applyFont="1" applyFill="1" applyBorder="1" applyAlignment="1" applyProtection="0">
      <alignment vertical="center"/>
    </xf>
    <xf numFmtId="49" fontId="7" fillId="2" borderId="33" applyNumberFormat="1" applyFont="1" applyFill="1" applyBorder="1" applyAlignment="1" applyProtection="0">
      <alignment vertical="center"/>
    </xf>
    <xf numFmtId="49" fontId="7" fillId="2" borderId="33" applyNumberFormat="1" applyFont="1" applyFill="1" applyBorder="1" applyAlignment="1" applyProtection="0">
      <alignment horizontal="left" vertical="center"/>
    </xf>
    <xf numFmtId="0" fontId="7" fillId="2" borderId="33" applyNumberFormat="0" applyFont="1" applyFill="1" applyBorder="1" applyAlignment="1" applyProtection="0">
      <alignment horizontal="left" vertical="center"/>
    </xf>
    <xf numFmtId="0" fontId="7" fillId="2" borderId="37" applyNumberFormat="0" applyFont="1" applyFill="1" applyBorder="1" applyAlignment="1" applyProtection="0">
      <alignment vertical="center"/>
    </xf>
    <xf numFmtId="0" fontId="0" fillId="2" borderId="2" applyNumberFormat="0" applyFont="1" applyFill="1" applyBorder="1" applyAlignment="1" applyProtection="0">
      <alignment horizontal="center" vertical="center"/>
    </xf>
    <xf numFmtId="0" fontId="0" fillId="2" borderId="2" applyNumberFormat="0" applyFont="1" applyFill="1" applyBorder="1" applyAlignment="1" applyProtection="0">
      <alignment horizontal="left" vertical="center"/>
    </xf>
    <xf numFmtId="49" fontId="0" fillId="2" borderId="5" applyNumberFormat="1" applyFont="1" applyFill="1" applyBorder="1" applyAlignment="1" applyProtection="0">
      <alignment horizontal="center" vertical="center"/>
    </xf>
    <xf numFmtId="0" fontId="7" fillId="2" borderId="5" applyNumberFormat="0" applyFont="1" applyFill="1" applyBorder="1"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00abea"/>
      <rgbColor rgb="ff969696"/>
      <rgbColor rgb="ffffff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600521</xdr:colOff>
      <xdr:row>19</xdr:row>
      <xdr:rowOff>4762</xdr:rowOff>
    </xdr:from>
    <xdr:to>
      <xdr:col>3</xdr:col>
      <xdr:colOff>833437</xdr:colOff>
      <xdr:row>19</xdr:row>
      <xdr:rowOff>169462</xdr:rowOff>
    </xdr:to>
    <xdr:sp>
      <xdr:nvSpPr>
        <xdr:cNvPr id="2" name="楕円"/>
        <xdr:cNvSpPr/>
      </xdr:nvSpPr>
      <xdr:spPr>
        <a:xfrm>
          <a:off x="1362521" y="3713162"/>
          <a:ext cx="855217" cy="164701"/>
        </a:xfrm>
        <a:prstGeom prst="ellipse">
          <a:avLst/>
        </a:prstGeom>
        <a:noFill/>
        <a:ln w="9525" cap="flat">
          <a:solidFill>
            <a:srgbClr val="000000"/>
          </a:solidFill>
          <a:prstDash val="solid"/>
          <a:miter lim="800000"/>
        </a:ln>
        <a:effectLst/>
      </xdr:spPr>
      <xdr:txBody>
        <a:bodyPr/>
        <a:lstStyle/>
        <a:p>
          <a:pPr/>
        </a:p>
      </xdr:txBody>
    </xdr:sp>
    <xdr:clientData/>
  </xdr:twoCellAnchor>
  <xdr:twoCellAnchor>
    <xdr:from>
      <xdr:col>4</xdr:col>
      <xdr:colOff>369867</xdr:colOff>
      <xdr:row>17</xdr:row>
      <xdr:rowOff>4762</xdr:rowOff>
    </xdr:from>
    <xdr:to>
      <xdr:col>4</xdr:col>
      <xdr:colOff>837088</xdr:colOff>
      <xdr:row>18</xdr:row>
      <xdr:rowOff>11262</xdr:rowOff>
    </xdr:to>
    <xdr:sp>
      <xdr:nvSpPr>
        <xdr:cNvPr id="3" name="楕円"/>
        <xdr:cNvSpPr/>
      </xdr:nvSpPr>
      <xdr:spPr>
        <a:xfrm>
          <a:off x="2592367" y="3382962"/>
          <a:ext cx="467222" cy="171601"/>
        </a:xfrm>
        <a:prstGeom prst="ellipse">
          <a:avLst/>
        </a:prstGeom>
        <a:noFill/>
        <a:ln w="9525" cap="flat">
          <a:solidFill>
            <a:srgbClr val="000000"/>
          </a:solidFill>
          <a:prstDash val="solid"/>
          <a:miter lim="800000"/>
        </a:ln>
        <a:effectLst/>
      </xdr:spPr>
      <xdr:txBody>
        <a:bodyPr/>
        <a:lstStyle/>
        <a:p>
          <a:pPr/>
        </a:p>
      </xdr:txBody>
    </xdr:sp>
    <xdr:clientData/>
  </xdr:twoCellAnchor>
  <xdr:twoCellAnchor>
    <xdr:from>
      <xdr:col>8</xdr:col>
      <xdr:colOff>4762</xdr:colOff>
      <xdr:row>28</xdr:row>
      <xdr:rowOff>46438</xdr:rowOff>
    </xdr:from>
    <xdr:to>
      <xdr:col>8</xdr:col>
      <xdr:colOff>1098083</xdr:colOff>
      <xdr:row>28</xdr:row>
      <xdr:rowOff>211137</xdr:rowOff>
    </xdr:to>
    <xdr:sp>
      <xdr:nvSpPr>
        <xdr:cNvPr id="4" name="楕円"/>
        <xdr:cNvSpPr/>
      </xdr:nvSpPr>
      <xdr:spPr>
        <a:xfrm>
          <a:off x="6697662" y="5653488"/>
          <a:ext cx="1093322" cy="164700"/>
        </a:xfrm>
        <a:prstGeom prst="ellipse">
          <a:avLst/>
        </a:prstGeom>
        <a:noFill/>
        <a:ln w="9525" cap="flat">
          <a:solidFill>
            <a:srgbClr val="000000"/>
          </a:solidFill>
          <a:prstDash val="solid"/>
          <a:miter lim="800000"/>
        </a:ln>
        <a:effectLst/>
      </xdr:spPr>
      <xdr:txBody>
        <a:bodyPr/>
        <a:lstStyle/>
        <a:p>
          <a:pPr/>
        </a:p>
      </xdr:txBody>
    </xdr:sp>
    <xdr:clientData/>
  </xdr:twoCellAnchor>
  <xdr:twoCellAnchor>
    <xdr:from>
      <xdr:col>8</xdr:col>
      <xdr:colOff>4762</xdr:colOff>
      <xdr:row>30</xdr:row>
      <xdr:rowOff>46438</xdr:rowOff>
    </xdr:from>
    <xdr:to>
      <xdr:col>8</xdr:col>
      <xdr:colOff>1098083</xdr:colOff>
      <xdr:row>30</xdr:row>
      <xdr:rowOff>211137</xdr:rowOff>
    </xdr:to>
    <xdr:sp>
      <xdr:nvSpPr>
        <xdr:cNvPr id="5" name="楕円"/>
        <xdr:cNvSpPr/>
      </xdr:nvSpPr>
      <xdr:spPr>
        <a:xfrm>
          <a:off x="6697662" y="6085288"/>
          <a:ext cx="1093322" cy="164700"/>
        </a:xfrm>
        <a:prstGeom prst="ellipse">
          <a:avLst/>
        </a:prstGeom>
        <a:noFill/>
        <a:ln w="9525" cap="flat">
          <a:solidFill>
            <a:srgbClr val="000000"/>
          </a:solidFill>
          <a:prstDash val="solid"/>
          <a:miter lim="800000"/>
        </a:ln>
        <a:effectLst/>
      </xdr:spPr>
      <xdr:txBody>
        <a:bodyPr/>
        <a:lstStyle/>
        <a:p>
          <a:pPr/>
        </a:p>
      </xdr:txBody>
    </xdr:sp>
    <xdr:clientData/>
  </xdr:twoCellAnchor>
  <xdr:twoCellAnchor>
    <xdr:from>
      <xdr:col>2</xdr:col>
      <xdr:colOff>600521</xdr:colOff>
      <xdr:row>20</xdr:row>
      <xdr:rowOff>46438</xdr:rowOff>
    </xdr:from>
    <xdr:to>
      <xdr:col>3</xdr:col>
      <xdr:colOff>833437</xdr:colOff>
      <xdr:row>20</xdr:row>
      <xdr:rowOff>211137</xdr:rowOff>
    </xdr:to>
    <xdr:sp>
      <xdr:nvSpPr>
        <xdr:cNvPr id="6" name="楕円"/>
        <xdr:cNvSpPr/>
      </xdr:nvSpPr>
      <xdr:spPr>
        <a:xfrm>
          <a:off x="1362521" y="3926288"/>
          <a:ext cx="855217" cy="164700"/>
        </a:xfrm>
        <a:prstGeom prst="ellipse">
          <a:avLst/>
        </a:prstGeom>
        <a:noFill/>
        <a:ln w="9525" cap="flat">
          <a:solidFill>
            <a:srgbClr val="000000"/>
          </a:solidFill>
          <a:prstDash val="solid"/>
          <a:miter lim="800000"/>
        </a:ln>
        <a:effectLst/>
      </xdr:spPr>
      <xdr:txBody>
        <a:bodyPr/>
        <a:lstStyle/>
        <a:p>
          <a:pPr/>
        </a:p>
      </xdr:txBody>
    </xdr:sp>
    <xdr:clientData/>
  </xdr:twoCellAnchor>
  <xdr:twoCellAnchor>
    <xdr:from>
      <xdr:col>6</xdr:col>
      <xdr:colOff>234950</xdr:colOff>
      <xdr:row>112</xdr:row>
      <xdr:rowOff>92588</xdr:rowOff>
    </xdr:from>
    <xdr:to>
      <xdr:col>6</xdr:col>
      <xdr:colOff>711696</xdr:colOff>
      <xdr:row>115</xdr:row>
      <xdr:rowOff>72511</xdr:rowOff>
    </xdr:to>
    <xdr:pic>
      <xdr:nvPicPr>
        <xdr:cNvPr id="7" name="イメージ" descr="イメージ"/>
        <xdr:cNvPicPr>
          <a:picLocks noChangeAspect="1"/>
        </xdr:cNvPicPr>
      </xdr:nvPicPr>
      <xdr:blipFill>
        <a:blip r:embed="rId1">
          <a:extLst/>
        </a:blip>
        <a:stretch>
          <a:fillRect/>
        </a:stretch>
      </xdr:blipFill>
      <xdr:spPr>
        <a:xfrm>
          <a:off x="4438650" y="20247488"/>
          <a:ext cx="476747" cy="475224"/>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テーマ">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テーマ">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テーマ">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A1:R116"/>
  <sheetViews>
    <sheetView workbookViewId="0" showGridLines="0" defaultGridColor="1"/>
  </sheetViews>
  <sheetFormatPr defaultColWidth="8.85714" defaultRowHeight="13" customHeight="1" outlineLevelRow="0" outlineLevelCol="0"/>
  <cols>
    <col min="1" max="1" width="3.57812" style="1" customWidth="1"/>
    <col min="2" max="2" width="5" style="1" customWidth="1"/>
    <col min="3" max="3" width="7" style="1" customWidth="1"/>
    <col min="4" max="4" width="9.44531" style="1" customWidth="1"/>
    <col min="5" max="5" width="10.8672" style="1" customWidth="1"/>
    <col min="6" max="6" width="11.4453" style="1" customWidth="1"/>
    <col min="7" max="7" width="10.4453" style="1" customWidth="1"/>
    <col min="8" max="8" width="17.5781" style="1" customWidth="1"/>
    <col min="9" max="9" width="13.4453" style="1" customWidth="1"/>
    <col min="10" max="10" width="4.86719" style="1" customWidth="1"/>
    <col min="11" max="15" width="15.1562" style="1" customWidth="1"/>
    <col min="16" max="17" width="11.4453" style="1" customWidth="1"/>
    <col min="18" max="18" width="14.1562" style="1" customWidth="1"/>
    <col min="19" max="16384" width="8.86719" style="1" customWidth="1"/>
  </cols>
  <sheetData>
    <row r="1" ht="13" customHeight="1">
      <c r="A1" s="2"/>
      <c r="B1" s="2"/>
      <c r="C1" s="3"/>
      <c r="D1" s="3"/>
      <c r="E1" s="3"/>
      <c r="F1" s="3"/>
      <c r="G1" s="3"/>
      <c r="H1" s="3"/>
      <c r="I1" t="s" s="4">
        <v>0</v>
      </c>
      <c r="J1" s="5"/>
      <c r="K1" s="2"/>
      <c r="L1" s="2"/>
      <c r="M1" s="2"/>
      <c r="N1" s="2"/>
      <c r="O1" t="s" s="6">
        <v>1</v>
      </c>
      <c r="P1" s="2"/>
      <c r="Q1" s="2"/>
      <c r="R1" s="2"/>
    </row>
    <row r="2" ht="14" customHeight="1">
      <c r="A2" s="2"/>
      <c r="B2" s="2"/>
      <c r="C2" s="2"/>
      <c r="D2" s="2"/>
      <c r="E2" s="2"/>
      <c r="F2" s="2"/>
      <c r="G2" s="2"/>
      <c r="H2" s="2"/>
      <c r="I2" t="s" s="6">
        <v>2</v>
      </c>
      <c r="J2" s="2"/>
      <c r="K2" t="s" s="7">
        <v>3</v>
      </c>
      <c r="L2" s="8"/>
      <c r="M2" s="8"/>
      <c r="N2" s="8"/>
      <c r="O2" s="2"/>
      <c r="P2" s="2"/>
      <c r="Q2" s="2"/>
      <c r="R2" s="2"/>
    </row>
    <row r="3" ht="13" customHeight="1">
      <c r="A3" s="2"/>
      <c r="B3" s="2"/>
      <c r="C3" s="2"/>
      <c r="D3" s="2"/>
      <c r="E3" s="2"/>
      <c r="F3" s="2"/>
      <c r="G3" s="2"/>
      <c r="H3" s="2"/>
      <c r="I3" s="2"/>
      <c r="J3" s="9"/>
      <c r="K3" t="s" s="10">
        <v>4</v>
      </c>
      <c r="L3" s="11"/>
      <c r="M3" s="11"/>
      <c r="N3" s="12"/>
      <c r="O3" s="13"/>
      <c r="P3" s="2"/>
      <c r="Q3" s="2"/>
      <c r="R3" s="2"/>
    </row>
    <row r="4" ht="13.5" customHeight="1">
      <c r="A4" t="s" s="14">
        <v>5</v>
      </c>
      <c r="B4" s="15"/>
      <c r="C4" s="15"/>
      <c r="D4" s="15"/>
      <c r="E4" s="3"/>
      <c r="F4" s="3"/>
      <c r="G4" s="3"/>
      <c r="H4" t="s" s="4">
        <v>6</v>
      </c>
      <c r="I4" s="16"/>
      <c r="J4" s="9"/>
      <c r="K4" t="s" s="17">
        <v>7</v>
      </c>
      <c r="L4" s="18"/>
      <c r="M4" s="18"/>
      <c r="N4" s="19"/>
      <c r="O4" s="13"/>
      <c r="P4" s="2"/>
      <c r="Q4" s="2"/>
      <c r="R4" s="2"/>
    </row>
    <row r="5" ht="13.5" customHeight="1">
      <c r="A5" t="s" s="20">
        <v>8</v>
      </c>
      <c r="B5" s="21"/>
      <c r="C5" s="21"/>
      <c r="D5" s="21"/>
      <c r="E5" s="3"/>
      <c r="F5" s="3"/>
      <c r="G5" s="3"/>
      <c r="H5" s="3"/>
      <c r="I5" s="22"/>
      <c r="J5" s="23"/>
      <c r="K5" t="s" s="24">
        <v>9</v>
      </c>
      <c r="L5" t="s" s="24">
        <v>10</v>
      </c>
      <c r="M5" t="s" s="24">
        <v>11</v>
      </c>
      <c r="N5" s="25"/>
      <c r="O5" s="13"/>
      <c r="P5" s="2"/>
      <c r="Q5" s="2"/>
      <c r="R5" s="2"/>
    </row>
    <row r="6" ht="13.5" customHeight="1">
      <c r="A6" s="3"/>
      <c r="B6" s="3"/>
      <c r="C6" s="3"/>
      <c r="D6" s="3"/>
      <c r="E6" s="3"/>
      <c r="F6" s="3"/>
      <c r="G6" s="3"/>
      <c r="H6" s="26"/>
      <c r="I6" t="s" s="27">
        <v>12</v>
      </c>
      <c r="J6" s="28"/>
      <c r="K6" s="29"/>
      <c r="L6" t="s" s="30">
        <f>IF(K6="","",IF(K6&lt;897900,ROUNDDOWN(K6/89.79%,0),ROUNDDOWN((K6-102100)/79.58%,0)))</f>
      </c>
      <c r="M6" t="s" s="30">
        <f>IF(K6="","",L6-K6)</f>
      </c>
      <c r="N6" s="25"/>
      <c r="O6" s="13"/>
      <c r="P6" s="2"/>
      <c r="Q6" s="2"/>
      <c r="R6" s="2"/>
    </row>
    <row r="7" ht="21" customHeight="1">
      <c r="A7" t="s" s="31">
        <v>13</v>
      </c>
      <c r="B7" s="32"/>
      <c r="C7" s="32"/>
      <c r="D7" s="32"/>
      <c r="E7" s="32"/>
      <c r="F7" s="32"/>
      <c r="G7" s="32"/>
      <c r="H7" s="33"/>
      <c r="I7" s="34"/>
      <c r="J7" s="35"/>
      <c r="K7" s="36"/>
      <c r="L7" s="37"/>
      <c r="M7" s="38"/>
      <c r="N7" s="19"/>
      <c r="O7" s="39"/>
      <c r="P7" s="2"/>
      <c r="Q7" s="2"/>
      <c r="R7" s="2"/>
    </row>
    <row r="8" ht="21.5" customHeight="1">
      <c r="A8" s="32"/>
      <c r="B8" s="32"/>
      <c r="C8" s="32"/>
      <c r="D8" s="32"/>
      <c r="E8" s="3"/>
      <c r="F8" s="3"/>
      <c r="G8" s="3"/>
      <c r="H8" s="26"/>
      <c r="I8" s="40"/>
      <c r="J8" s="41"/>
      <c r="K8" t="s" s="17">
        <v>14</v>
      </c>
      <c r="L8" s="18"/>
      <c r="M8" s="18"/>
      <c r="N8" s="19"/>
      <c r="O8" s="13"/>
      <c r="P8" s="2"/>
      <c r="Q8" s="2"/>
      <c r="R8" s="2"/>
    </row>
    <row r="9" ht="13.5" customHeight="1">
      <c r="A9" t="s" s="42">
        <v>15</v>
      </c>
      <c r="B9" s="43"/>
      <c r="C9" s="43"/>
      <c r="D9" s="43"/>
      <c r="E9" s="43"/>
      <c r="F9" s="43"/>
      <c r="G9" s="43"/>
      <c r="H9" s="44"/>
      <c r="I9" s="40"/>
      <c r="J9" s="45"/>
      <c r="K9" t="s" s="24">
        <v>10</v>
      </c>
      <c r="L9" t="s" s="24">
        <v>9</v>
      </c>
      <c r="M9" t="s" s="24">
        <v>11</v>
      </c>
      <c r="N9" s="25"/>
      <c r="O9" s="13"/>
      <c r="P9" s="2"/>
      <c r="Q9" s="2"/>
      <c r="R9" s="2"/>
    </row>
    <row r="10" ht="13.5" customHeight="1">
      <c r="A10" s="43"/>
      <c r="B10" s="43"/>
      <c r="C10" s="43"/>
      <c r="D10" s="43"/>
      <c r="E10" s="43"/>
      <c r="F10" s="43"/>
      <c r="G10" s="43"/>
      <c r="H10" s="44"/>
      <c r="I10" s="40"/>
      <c r="J10" s="45"/>
      <c r="K10" s="46"/>
      <c r="L10" t="s" s="30">
        <f>IF(K10="","",IF(K10&lt;1000000,ROUNDUP(K10*89.79%,0),ROUNDUP(K10*79.58%+102100,0)))</f>
      </c>
      <c r="M10" t="s" s="30">
        <f>IF(K10="","",K10-L10)</f>
      </c>
      <c r="N10" s="47"/>
      <c r="O10" s="13"/>
      <c r="P10" s="2"/>
      <c r="Q10" s="2"/>
      <c r="R10" s="2"/>
    </row>
    <row r="11" ht="13.5" customHeight="1">
      <c r="A11" s="43"/>
      <c r="B11" s="43"/>
      <c r="C11" s="43"/>
      <c r="D11" s="43"/>
      <c r="E11" s="43"/>
      <c r="F11" s="43"/>
      <c r="G11" s="43"/>
      <c r="H11" s="44"/>
      <c r="I11" s="48"/>
      <c r="J11" s="49"/>
      <c r="K11" s="50"/>
      <c r="L11" s="37"/>
      <c r="M11" s="37"/>
      <c r="N11" s="11"/>
      <c r="O11" s="2"/>
      <c r="P11" s="2"/>
      <c r="Q11" s="2"/>
      <c r="R11" s="2"/>
    </row>
    <row r="12" ht="13.5" customHeight="1">
      <c r="A12" t="s" s="51">
        <v>16</v>
      </c>
      <c r="B12" s="5"/>
      <c r="C12" s="5"/>
      <c r="D12" s="5"/>
      <c r="E12" s="5"/>
      <c r="F12" s="5"/>
      <c r="G12" s="5"/>
      <c r="H12" s="5"/>
      <c r="I12" s="52"/>
      <c r="J12" s="53"/>
      <c r="K12" t="s" s="54">
        <v>17</v>
      </c>
      <c r="L12" s="39"/>
      <c r="M12" s="55"/>
      <c r="N12" s="2"/>
      <c r="O12" s="2"/>
      <c r="P12" s="2"/>
      <c r="Q12" s="2"/>
      <c r="R12" s="2"/>
    </row>
    <row r="13" ht="13.5" customHeight="1">
      <c r="A13" t="s" s="56">
        <v>18</v>
      </c>
      <c r="B13" s="3"/>
      <c r="C13" s="57"/>
      <c r="D13" s="57"/>
      <c r="E13" s="57"/>
      <c r="F13" s="57"/>
      <c r="G13" s="3"/>
      <c r="H13" s="3"/>
      <c r="I13" s="3"/>
      <c r="J13" s="23"/>
      <c r="K13" t="s" s="24">
        <v>10</v>
      </c>
      <c r="L13" s="58"/>
      <c r="M13" s="55"/>
      <c r="N13" s="2"/>
      <c r="O13" s="2"/>
      <c r="P13" s="2"/>
      <c r="Q13" s="2"/>
      <c r="R13" s="2"/>
    </row>
    <row r="14" ht="13.5" customHeight="1">
      <c r="A14" t="s" s="56">
        <v>19</v>
      </c>
      <c r="B14" s="3"/>
      <c r="C14" t="s" s="59">
        <v>20</v>
      </c>
      <c r="D14" s="60"/>
      <c r="E14" s="60"/>
      <c r="F14" s="60"/>
      <c r="G14" s="3"/>
      <c r="H14" s="3"/>
      <c r="I14" s="3"/>
      <c r="J14" s="23"/>
      <c r="K14" s="29"/>
      <c r="L14" s="58"/>
      <c r="M14" s="55"/>
      <c r="N14" s="2"/>
      <c r="O14" s="2"/>
      <c r="P14" s="2"/>
      <c r="Q14" s="2"/>
      <c r="R14" s="2"/>
    </row>
    <row r="15" ht="13" customHeight="1">
      <c r="A15" t="s" s="56">
        <v>21</v>
      </c>
      <c r="B15" s="3"/>
      <c r="C15" t="s" s="51">
        <v>22</v>
      </c>
      <c r="D15" s="5"/>
      <c r="E15" s="5"/>
      <c r="F15" s="5"/>
      <c r="G15" s="3"/>
      <c r="H15" s="3"/>
      <c r="I15" s="3"/>
      <c r="J15" s="3"/>
      <c r="K15" s="37"/>
      <c r="L15" s="2"/>
      <c r="M15" s="2"/>
      <c r="N15" s="2"/>
      <c r="O15" s="2"/>
      <c r="P15" s="2"/>
      <c r="Q15" s="2"/>
      <c r="R15" s="2"/>
    </row>
    <row r="16" ht="13.5" customHeight="1">
      <c r="A16" t="s" s="56">
        <v>23</v>
      </c>
      <c r="B16" s="3"/>
      <c r="C16" t="s" s="56">
        <v>24</v>
      </c>
      <c r="D16" s="3"/>
      <c r="E16" s="3"/>
      <c r="F16" s="3"/>
      <c r="G16" s="3"/>
      <c r="H16" s="3"/>
      <c r="I16" s="3"/>
      <c r="J16" s="3"/>
      <c r="K16" t="s" s="61">
        <v>25</v>
      </c>
      <c r="L16" s="2"/>
      <c r="M16" s="2"/>
      <c r="N16" s="2"/>
      <c r="O16" s="2"/>
      <c r="P16" s="2"/>
      <c r="Q16" s="2"/>
      <c r="R16" s="2"/>
    </row>
    <row r="17" ht="35.5" customHeight="1">
      <c r="A17" t="s" s="56">
        <v>26</v>
      </c>
      <c r="B17" s="3"/>
      <c r="C17" t="s" s="51">
        <v>27</v>
      </c>
      <c r="D17" s="5"/>
      <c r="E17" s="5"/>
      <c r="F17" s="5"/>
      <c r="G17" t="s" s="62">
        <v>28</v>
      </c>
      <c r="H17" s="63"/>
      <c r="I17" s="63"/>
      <c r="J17" s="23"/>
      <c r="K17" s="64"/>
      <c r="L17" t="s" s="65">
        <v>29</v>
      </c>
      <c r="M17" s="2"/>
      <c r="N17" s="2"/>
      <c r="O17" s="2"/>
      <c r="P17" s="2"/>
      <c r="Q17" s="2"/>
      <c r="R17" s="2"/>
    </row>
    <row r="18" ht="13" customHeight="1">
      <c r="A18" t="s" s="56">
        <v>30</v>
      </c>
      <c r="B18" s="3"/>
      <c r="C18" s="3"/>
      <c r="D18" s="3"/>
      <c r="E18" s="3"/>
      <c r="F18" s="3"/>
      <c r="G18" s="3"/>
      <c r="H18" s="3"/>
      <c r="I18" s="3"/>
      <c r="J18" s="63"/>
      <c r="K18" s="37"/>
      <c r="L18" t="s" s="66">
        <v>31</v>
      </c>
      <c r="M18" s="2"/>
      <c r="N18" s="2"/>
      <c r="O18" s="2"/>
      <c r="P18" s="2"/>
      <c r="Q18" s="2"/>
      <c r="R18" s="2"/>
    </row>
    <row r="19" ht="13" customHeight="1">
      <c r="A19" s="2"/>
      <c r="B19" s="2"/>
      <c r="C19" s="2"/>
      <c r="D19" s="2"/>
      <c r="E19" s="2"/>
      <c r="F19" s="2"/>
      <c r="G19" s="2"/>
      <c r="H19" s="2"/>
      <c r="I19" s="2"/>
      <c r="J19" s="3"/>
      <c r="K19" s="2"/>
      <c r="L19" s="2"/>
      <c r="M19" s="2"/>
      <c r="N19" s="2"/>
      <c r="O19" s="2"/>
      <c r="P19" s="2"/>
      <c r="Q19" s="2"/>
      <c r="R19" s="2"/>
    </row>
    <row r="20" ht="13.5" customHeight="1">
      <c r="A20" t="s" s="56">
        <v>32</v>
      </c>
      <c r="B20" s="3"/>
      <c r="C20" s="2"/>
      <c r="D20" t="s" s="56">
        <v>33</v>
      </c>
      <c r="E20" t="s" s="56">
        <v>34</v>
      </c>
      <c r="F20" t="s" s="59">
        <v>35</v>
      </c>
      <c r="G20" s="2"/>
      <c r="H20" t="s" s="56">
        <v>36</v>
      </c>
      <c r="I20" s="3"/>
      <c r="J20" s="3"/>
      <c r="K20" t="s" s="67">
        <v>37</v>
      </c>
      <c r="L20" s="68"/>
      <c r="M20" s="68"/>
      <c r="N20" s="2"/>
      <c r="O20" s="2"/>
      <c r="P20" s="2"/>
      <c r="Q20" s="2"/>
      <c r="R20" s="2"/>
    </row>
    <row r="21" ht="17" customHeight="1">
      <c r="A21" t="s" s="56">
        <v>38</v>
      </c>
      <c r="B21" s="3"/>
      <c r="C21" s="3"/>
      <c r="D21" t="s" s="59">
        <v>39</v>
      </c>
      <c r="E21" s="60"/>
      <c r="F21" s="3"/>
      <c r="G21" s="3"/>
      <c r="H21" s="3"/>
      <c r="I21" s="3"/>
      <c r="J21" s="69"/>
      <c r="K21" t="s" s="70">
        <v>40</v>
      </c>
      <c r="L21" t="s" s="71">
        <v>41</v>
      </c>
      <c r="M21" s="72"/>
      <c r="N21" s="73"/>
      <c r="O21" s="2"/>
      <c r="P21" s="2"/>
      <c r="Q21" s="2"/>
      <c r="R21" s="2"/>
    </row>
    <row r="22" ht="17" customHeight="1">
      <c r="A22" s="3"/>
      <c r="B22" s="3"/>
      <c r="C22" s="3"/>
      <c r="D22" s="3"/>
      <c r="E22" s="3"/>
      <c r="F22" s="3"/>
      <c r="G22" s="3"/>
      <c r="H22" s="3"/>
      <c r="I22" s="3"/>
      <c r="J22" s="69"/>
      <c r="K22" s="74">
        <v>0</v>
      </c>
      <c r="L22" t="s" s="75">
        <v>42</v>
      </c>
      <c r="M22" t="s" s="76">
        <v>43</v>
      </c>
      <c r="N22" s="73"/>
      <c r="O22" s="2"/>
      <c r="P22" s="2"/>
      <c r="Q22" s="2"/>
      <c r="R22" s="2"/>
    </row>
    <row r="23" ht="17" customHeight="1">
      <c r="A23" s="3"/>
      <c r="B23" t="s" s="56">
        <v>44</v>
      </c>
      <c r="C23" s="3"/>
      <c r="D23" s="3"/>
      <c r="E23" s="3"/>
      <c r="F23" s="3"/>
      <c r="G23" s="3"/>
      <c r="H23" s="3"/>
      <c r="I23" s="3"/>
      <c r="J23" s="69"/>
      <c r="K23" s="74">
        <v>1</v>
      </c>
      <c r="L23" t="s" s="75">
        <v>45</v>
      </c>
      <c r="M23" t="s" s="76">
        <v>46</v>
      </c>
      <c r="N23" s="73"/>
      <c r="O23" s="2"/>
      <c r="P23" s="2"/>
      <c r="Q23" s="2"/>
      <c r="R23" s="2"/>
    </row>
    <row r="24" ht="17" customHeight="1">
      <c r="A24" s="3"/>
      <c r="B24" s="3"/>
      <c r="C24" t="s" s="56">
        <v>47</v>
      </c>
      <c r="D24" s="3"/>
      <c r="E24" s="22"/>
      <c r="F24" s="77">
        <v>0</v>
      </c>
      <c r="G24" s="77"/>
      <c r="H24" t="s" s="78">
        <v>48</v>
      </c>
      <c r="I24" s="3"/>
      <c r="J24" s="69"/>
      <c r="K24" s="74">
        <v>10000</v>
      </c>
      <c r="L24" t="s" s="75">
        <v>42</v>
      </c>
      <c r="M24" t="s" s="76">
        <v>49</v>
      </c>
      <c r="N24" s="73"/>
      <c r="O24" s="2"/>
      <c r="P24" s="79"/>
      <c r="Q24" s="79"/>
      <c r="R24" s="2"/>
    </row>
    <row r="25" ht="17" customHeight="1">
      <c r="A25" s="80"/>
      <c r="B25" s="80"/>
      <c r="C25" s="2"/>
      <c r="D25" s="81"/>
      <c r="E25" t="s" s="82">
        <v>50</v>
      </c>
      <c r="F25" s="83">
        <f>IF(F24="","",ROUNDDOWN(F24/1.08*0.08,0))</f>
        <v>0</v>
      </c>
      <c r="G25" s="83"/>
      <c r="H25" t="s" s="82">
        <v>51</v>
      </c>
      <c r="I25" s="80"/>
      <c r="J25" s="84"/>
      <c r="K25" s="74">
        <v>1000000</v>
      </c>
      <c r="L25" t="s" s="75">
        <v>42</v>
      </c>
      <c r="M25" t="s" s="76">
        <v>52</v>
      </c>
      <c r="N25" s="73"/>
      <c r="O25" s="2"/>
      <c r="P25" s="2"/>
      <c r="Q25" s="2"/>
      <c r="R25" s="2"/>
    </row>
    <row r="26" ht="17" customHeight="1">
      <c r="A26" s="80"/>
      <c r="B26" s="80"/>
      <c r="C26" s="2"/>
      <c r="D26" s="81"/>
      <c r="E26" t="s" s="82">
        <v>53</v>
      </c>
      <c r="F26" t="s" s="85">
        <f>IF(F24="","",IF(OR(D21="１．個人契約",D21="３．その他(任意団体等）"),IF(K6="",M10,M6),""))</f>
      </c>
      <c r="G26" s="83"/>
      <c r="H26" t="s" s="82">
        <v>54</v>
      </c>
      <c r="I26" s="80"/>
      <c r="J26" s="84"/>
      <c r="K26" s="74">
        <v>1000001</v>
      </c>
      <c r="L26" t="s" s="75">
        <v>55</v>
      </c>
      <c r="M26" t="s" s="76">
        <v>56</v>
      </c>
      <c r="N26" s="73"/>
      <c r="O26" s="2"/>
      <c r="P26" s="2"/>
      <c r="Q26" s="2"/>
      <c r="R26" s="2"/>
    </row>
    <row r="27" ht="17" customHeight="1">
      <c r="A27" s="80"/>
      <c r="B27" s="80"/>
      <c r="C27" t="s" s="86">
        <v>9</v>
      </c>
      <c r="D27" s="80"/>
      <c r="E27" s="83">
        <f>IF(F26="",F24,F24-F26)</f>
        <v>0</v>
      </c>
      <c r="F27" s="87"/>
      <c r="G27" s="87"/>
      <c r="H27" t="s" s="88">
        <v>48</v>
      </c>
      <c r="I27" s="80"/>
      <c r="J27" s="84"/>
      <c r="K27" s="74">
        <v>2000000</v>
      </c>
      <c r="L27" t="s" s="75">
        <v>55</v>
      </c>
      <c r="M27" t="s" s="76">
        <v>57</v>
      </c>
      <c r="N27" s="73"/>
      <c r="O27" s="2"/>
      <c r="P27" s="2"/>
      <c r="Q27" s="2"/>
      <c r="R27" s="2"/>
    </row>
    <row r="28" ht="17" customHeight="1">
      <c r="A28" s="80"/>
      <c r="B28" s="80"/>
      <c r="C28" s="80"/>
      <c r="D28" s="80"/>
      <c r="E28" s="89"/>
      <c r="F28" s="89"/>
      <c r="G28" s="89"/>
      <c r="H28" s="89"/>
      <c r="I28" s="80"/>
      <c r="J28" s="84"/>
      <c r="K28" s="74">
        <v>2000001</v>
      </c>
      <c r="L28" t="s" s="75">
        <v>58</v>
      </c>
      <c r="M28" t="s" s="76">
        <v>59</v>
      </c>
      <c r="N28" s="73"/>
      <c r="O28" s="2"/>
      <c r="P28" s="2"/>
      <c r="Q28" s="2"/>
      <c r="R28" s="2"/>
    </row>
    <row r="29" ht="17" customHeight="1">
      <c r="A29" s="3"/>
      <c r="B29" s="3"/>
      <c r="C29" t="s" s="56">
        <v>60</v>
      </c>
      <c r="D29" s="16"/>
      <c r="E29" t="s" s="56">
        <v>61</v>
      </c>
      <c r="F29" s="3"/>
      <c r="G29" t="s" s="56">
        <v>62</v>
      </c>
      <c r="H29" s="3"/>
      <c r="I29" t="s" s="56">
        <v>63</v>
      </c>
      <c r="J29" s="69"/>
      <c r="K29" s="74">
        <v>3000000</v>
      </c>
      <c r="L29" t="s" s="75">
        <v>58</v>
      </c>
      <c r="M29" t="s" s="76">
        <v>64</v>
      </c>
      <c r="N29" s="73"/>
      <c r="O29" s="2"/>
      <c r="P29" s="2"/>
      <c r="Q29" s="2"/>
      <c r="R29" s="2"/>
    </row>
    <row r="30" ht="17" customHeight="1">
      <c r="A30" s="90"/>
      <c r="B30" s="90"/>
      <c r="C30" s="90"/>
      <c r="D30" s="2"/>
      <c r="E30" s="2"/>
      <c r="F30" s="2"/>
      <c r="G30" s="90"/>
      <c r="H30" s="90"/>
      <c r="I30" s="90"/>
      <c r="J30" s="91"/>
      <c r="K30" s="74">
        <v>3000001</v>
      </c>
      <c r="L30" t="s" s="75">
        <v>65</v>
      </c>
      <c r="M30" t="s" s="76">
        <v>66</v>
      </c>
      <c r="N30" s="73"/>
      <c r="O30" s="2"/>
      <c r="P30" s="2"/>
      <c r="Q30" s="2"/>
      <c r="R30" s="2"/>
    </row>
    <row r="31" ht="17" customHeight="1">
      <c r="A31" s="80"/>
      <c r="B31" s="80"/>
      <c r="C31" t="s" s="56">
        <v>67</v>
      </c>
      <c r="D31" s="16"/>
      <c r="E31" t="s" s="56">
        <v>61</v>
      </c>
      <c r="F31" s="3"/>
      <c r="G31" t="s" s="56">
        <v>68</v>
      </c>
      <c r="H31" s="3"/>
      <c r="I31" t="s" s="56">
        <v>63</v>
      </c>
      <c r="J31" s="84"/>
      <c r="K31" s="74">
        <v>5000000</v>
      </c>
      <c r="L31" t="s" s="75">
        <v>65</v>
      </c>
      <c r="M31" t="s" s="76">
        <v>69</v>
      </c>
      <c r="N31" s="73"/>
      <c r="O31" s="2"/>
      <c r="P31" s="2"/>
      <c r="Q31" s="2"/>
      <c r="R31" s="2"/>
    </row>
    <row r="32" ht="13" customHeight="1">
      <c r="A32" s="3"/>
      <c r="B32" s="3"/>
      <c r="C32" s="92"/>
      <c r="D32" s="92"/>
      <c r="E32" s="92"/>
      <c r="F32" s="92"/>
      <c r="G32" s="92"/>
      <c r="H32" s="92"/>
      <c r="I32" s="3"/>
      <c r="J32" s="3"/>
      <c r="K32" t="s" s="93">
        <v>70</v>
      </c>
      <c r="L32" s="94"/>
      <c r="M32" s="94"/>
      <c r="N32" s="2"/>
      <c r="O32" s="2"/>
      <c r="P32" s="2"/>
      <c r="Q32" s="2"/>
      <c r="R32" s="2"/>
    </row>
    <row r="33" ht="13" customHeight="1">
      <c r="A33" s="90"/>
      <c r="B33" s="95"/>
      <c r="C33" t="s" s="96">
        <v>71</v>
      </c>
      <c r="D33" s="97"/>
      <c r="E33" s="97"/>
      <c r="F33" s="97"/>
      <c r="G33" s="97"/>
      <c r="H33" s="97"/>
      <c r="I33" s="98"/>
      <c r="J33" s="90"/>
      <c r="K33" t="s" s="66">
        <v>72</v>
      </c>
      <c r="L33" s="2"/>
      <c r="M33" s="2"/>
      <c r="N33" s="2"/>
      <c r="O33" s="2"/>
      <c r="P33" s="2"/>
      <c r="Q33" s="2"/>
      <c r="R33" s="2"/>
    </row>
    <row r="34" ht="16" customHeight="1">
      <c r="A34" s="3"/>
      <c r="B34" s="3"/>
      <c r="C34" t="s" s="99">
        <v>73</v>
      </c>
      <c r="D34" s="100"/>
      <c r="E34" s="100"/>
      <c r="F34" s="100"/>
      <c r="G34" s="100"/>
      <c r="H34" s="101"/>
      <c r="I34" s="102"/>
      <c r="J34" s="103"/>
      <c r="K34" t="s" s="66">
        <v>74</v>
      </c>
      <c r="L34" s="2"/>
      <c r="M34" s="2"/>
      <c r="N34" s="2"/>
      <c r="O34" s="2"/>
      <c r="P34" s="2"/>
      <c r="Q34" s="2"/>
      <c r="R34" s="2"/>
    </row>
    <row r="35" ht="13.5" customHeight="1">
      <c r="A35" s="3"/>
      <c r="B35" s="3"/>
      <c r="C35" s="104"/>
      <c r="D35" s="104"/>
      <c r="E35" s="104"/>
      <c r="F35" s="104"/>
      <c r="G35" s="104"/>
      <c r="H35" s="105"/>
      <c r="I35" s="97"/>
      <c r="J35" s="106"/>
      <c r="K35" t="s" s="66">
        <v>75</v>
      </c>
      <c r="L35" s="2"/>
      <c r="M35" s="2"/>
      <c r="N35" s="2"/>
      <c r="O35" s="2"/>
      <c r="P35" s="2"/>
      <c r="Q35" s="2"/>
      <c r="R35" s="2"/>
    </row>
    <row r="36" ht="13" customHeight="1">
      <c r="A36" s="3"/>
      <c r="B36" s="3"/>
      <c r="C36" s="104"/>
      <c r="D36" s="104"/>
      <c r="E36" s="104"/>
      <c r="F36" s="104"/>
      <c r="G36" s="104"/>
      <c r="H36" s="104"/>
      <c r="I36" s="107"/>
      <c r="J36" s="3"/>
      <c r="K36" t="s" s="66">
        <v>76</v>
      </c>
      <c r="L36" s="2"/>
      <c r="M36" s="2"/>
      <c r="N36" s="2"/>
      <c r="O36" s="2"/>
      <c r="P36" s="2"/>
      <c r="Q36" s="2"/>
      <c r="R36" s="2"/>
    </row>
    <row r="37" ht="14" customHeight="1">
      <c r="A37" s="3"/>
      <c r="B37" s="3"/>
      <c r="C37" s="90"/>
      <c r="D37" s="90"/>
      <c r="E37" s="90"/>
      <c r="F37" s="90"/>
      <c r="G37" s="90"/>
      <c r="H37" s="90"/>
      <c r="I37" s="2"/>
      <c r="J37" s="3"/>
      <c r="K37" t="s" s="66">
        <v>77</v>
      </c>
      <c r="L37" s="108"/>
      <c r="M37" s="108"/>
      <c r="N37" s="2"/>
      <c r="O37" s="2"/>
      <c r="P37" s="2"/>
      <c r="Q37" s="2"/>
      <c r="R37" s="2"/>
    </row>
    <row r="38" ht="14" customHeight="1">
      <c r="A38" s="3"/>
      <c r="B38" s="3"/>
      <c r="C38" s="90"/>
      <c r="D38" s="90"/>
      <c r="E38" s="3"/>
      <c r="F38" s="3"/>
      <c r="G38" s="3"/>
      <c r="H38" s="3"/>
      <c r="I38" s="3"/>
      <c r="J38" s="3"/>
      <c r="K38" t="s" s="59">
        <v>78</v>
      </c>
      <c r="L38" s="2"/>
      <c r="M38" s="2"/>
      <c r="N38" s="108"/>
      <c r="O38" s="2"/>
      <c r="P38" s="2"/>
      <c r="Q38" s="2"/>
      <c r="R38" s="55"/>
    </row>
    <row r="39" ht="14" customHeight="1">
      <c r="A39" s="3"/>
      <c r="B39" s="3"/>
      <c r="C39" t="s" s="56">
        <v>79</v>
      </c>
      <c r="D39" s="3"/>
      <c r="E39" s="3"/>
      <c r="F39" s="3"/>
      <c r="G39" s="3"/>
      <c r="H39" s="3"/>
      <c r="I39" s="3"/>
      <c r="J39" s="3"/>
      <c r="K39" t="s" s="66">
        <v>80</v>
      </c>
      <c r="L39" s="2"/>
      <c r="M39" s="2"/>
      <c r="N39" s="2"/>
      <c r="O39" s="108"/>
      <c r="P39" s="2"/>
      <c r="Q39" s="2"/>
      <c r="R39" s="2"/>
    </row>
    <row r="40" ht="13" customHeight="1">
      <c r="A40" s="3"/>
      <c r="B40" s="3"/>
      <c r="C40" s="3"/>
      <c r="D40" s="77">
        <f>E27</f>
        <v>0</v>
      </c>
      <c r="E40" s="22"/>
      <c r="F40" s="22"/>
      <c r="G40" t="s" s="78">
        <v>81</v>
      </c>
      <c r="H40" s="3"/>
      <c r="I40" s="3"/>
      <c r="J40" s="3"/>
      <c r="K40" s="2"/>
      <c r="L40" s="2"/>
      <c r="M40" s="2"/>
      <c r="N40" s="2"/>
      <c r="O40" s="2"/>
      <c r="P40" s="2"/>
      <c r="Q40" s="2"/>
      <c r="R40" s="2"/>
    </row>
    <row r="41" ht="13" customHeight="1">
      <c r="A41" s="3"/>
      <c r="B41" s="3"/>
      <c r="C41" s="90"/>
      <c r="D41" s="109"/>
      <c r="E41" s="110"/>
      <c r="F41" s="110"/>
      <c r="G41" s="110"/>
      <c r="H41" s="3"/>
      <c r="I41" s="3"/>
      <c r="J41" s="3"/>
      <c r="K41" s="2"/>
      <c r="L41" s="2"/>
      <c r="M41" s="2"/>
      <c r="N41" s="2"/>
      <c r="O41" s="2"/>
      <c r="P41" s="2"/>
      <c r="Q41" s="2"/>
      <c r="R41" s="2"/>
    </row>
    <row r="42" ht="13" customHeight="1">
      <c r="A42" s="3"/>
      <c r="B42" s="3"/>
      <c r="C42" t="s" s="51">
        <v>82</v>
      </c>
      <c r="D42" s="5"/>
      <c r="E42" s="3"/>
      <c r="F42" s="3"/>
      <c r="G42" s="60"/>
      <c r="H42" s="60"/>
      <c r="I42" s="3"/>
      <c r="J42" s="3"/>
      <c r="K42" s="2"/>
      <c r="L42" s="2"/>
      <c r="M42" s="2"/>
      <c r="N42" s="2"/>
      <c r="O42" s="2"/>
      <c r="P42" s="2"/>
      <c r="Q42" s="2"/>
      <c r="R42" s="2"/>
    </row>
    <row r="43" ht="13" customHeight="1">
      <c r="A43" s="3"/>
      <c r="B43" s="3"/>
      <c r="C43" t="s" s="78">
        <v>83</v>
      </c>
      <c r="D43" s="22"/>
      <c r="E43" s="22"/>
      <c r="F43" s="22"/>
      <c r="G43" s="22"/>
      <c r="H43" s="3"/>
      <c r="I43" s="3"/>
      <c r="J43" s="3"/>
      <c r="K43" s="2"/>
      <c r="L43" s="2"/>
      <c r="M43" s="2"/>
      <c r="N43" s="2"/>
      <c r="O43" s="2"/>
      <c r="P43" s="2"/>
      <c r="Q43" s="2"/>
      <c r="R43" s="2"/>
    </row>
    <row r="44" ht="13" customHeight="1">
      <c r="A44" s="3"/>
      <c r="B44" s="3"/>
      <c r="C44" t="s" s="88">
        <v>84</v>
      </c>
      <c r="D44" s="87"/>
      <c r="E44" s="87"/>
      <c r="F44" s="87"/>
      <c r="G44" s="87"/>
      <c r="H44" s="3"/>
      <c r="I44" s="3"/>
      <c r="J44" s="3"/>
      <c r="K44" s="2"/>
      <c r="L44" s="2"/>
      <c r="M44" s="2"/>
      <c r="N44" s="2"/>
      <c r="O44" s="2"/>
      <c r="P44" s="2"/>
      <c r="Q44" s="2"/>
      <c r="R44" s="2"/>
    </row>
    <row r="45" ht="13" customHeight="1">
      <c r="A45" s="3"/>
      <c r="B45" s="3"/>
      <c r="C45" t="s" s="88">
        <v>85</v>
      </c>
      <c r="D45" s="87"/>
      <c r="E45" t="s" s="88">
        <v>86</v>
      </c>
      <c r="F45" s="111"/>
      <c r="G45" s="111"/>
      <c r="H45" s="3"/>
      <c r="I45" s="3"/>
      <c r="J45" s="3"/>
      <c r="K45" s="2"/>
      <c r="L45" s="2"/>
      <c r="M45" s="2"/>
      <c r="N45" s="2"/>
      <c r="O45" s="2"/>
      <c r="P45" s="2"/>
      <c r="Q45" s="2"/>
      <c r="R45" s="2"/>
    </row>
    <row r="46" ht="13" customHeight="1">
      <c r="A46" s="80"/>
      <c r="B46" s="80"/>
      <c r="C46" t="s" s="88">
        <v>87</v>
      </c>
      <c r="D46" s="87"/>
      <c r="E46" s="112"/>
      <c r="F46" s="112"/>
      <c r="G46" s="112"/>
      <c r="H46" s="80"/>
      <c r="I46" s="80"/>
      <c r="J46" s="80"/>
      <c r="K46" s="2"/>
      <c r="L46" s="2"/>
      <c r="M46" s="2"/>
      <c r="N46" s="2"/>
      <c r="O46" s="2"/>
      <c r="P46" s="2"/>
      <c r="Q46" s="2"/>
      <c r="R46" s="2"/>
    </row>
    <row r="47" ht="13" customHeight="1">
      <c r="A47" s="80"/>
      <c r="B47" s="80"/>
      <c r="C47" t="s" s="82">
        <v>88</v>
      </c>
      <c r="D47" s="113"/>
      <c r="E47" s="112"/>
      <c r="F47" s="112"/>
      <c r="G47" s="112"/>
      <c r="H47" s="80"/>
      <c r="I47" s="80"/>
      <c r="J47" s="80"/>
      <c r="K47" s="2"/>
      <c r="L47" s="2"/>
      <c r="M47" s="2"/>
      <c r="N47" s="2"/>
      <c r="O47" s="2"/>
      <c r="P47" s="2"/>
      <c r="Q47" s="2"/>
      <c r="R47" s="2"/>
    </row>
    <row r="48" ht="13" customHeight="1">
      <c r="A48" s="3"/>
      <c r="B48" s="3"/>
      <c r="C48" s="110"/>
      <c r="D48" s="110"/>
      <c r="E48" s="110"/>
      <c r="F48" s="110"/>
      <c r="G48" s="110"/>
      <c r="H48" s="3"/>
      <c r="I48" s="3"/>
      <c r="J48" s="3"/>
      <c r="K48" s="2"/>
      <c r="L48" s="2"/>
      <c r="M48" s="2"/>
      <c r="N48" s="2"/>
      <c r="O48" s="2"/>
      <c r="P48" s="2"/>
      <c r="Q48" s="2"/>
      <c r="R48" s="2"/>
    </row>
    <row r="49" ht="13" customHeight="1">
      <c r="A49" s="3"/>
      <c r="B49" t="s" s="56">
        <v>89</v>
      </c>
      <c r="C49" s="3"/>
      <c r="D49" s="3"/>
      <c r="E49" t="s" s="56">
        <v>90</v>
      </c>
      <c r="F49" s="3"/>
      <c r="G49" s="3"/>
      <c r="H49" s="3"/>
      <c r="I49" s="3"/>
      <c r="J49" s="3"/>
      <c r="K49" s="2"/>
      <c r="L49" s="2"/>
      <c r="M49" s="2"/>
      <c r="N49" s="2"/>
      <c r="O49" s="2"/>
      <c r="P49" s="2"/>
      <c r="Q49" s="2"/>
      <c r="R49" s="2"/>
    </row>
    <row r="50" ht="13" customHeight="1">
      <c r="A50" s="3"/>
      <c r="B50" s="3"/>
      <c r="C50" s="3"/>
      <c r="D50" s="3"/>
      <c r="E50" s="3"/>
      <c r="F50" s="3"/>
      <c r="G50" s="3"/>
      <c r="H50" s="3"/>
      <c r="I50" s="3"/>
      <c r="J50" s="3"/>
      <c r="K50" s="2"/>
      <c r="L50" s="2"/>
      <c r="M50" s="2"/>
      <c r="N50" s="2"/>
      <c r="O50" s="2"/>
      <c r="P50" s="2"/>
      <c r="Q50" s="2"/>
      <c r="R50" s="2"/>
    </row>
    <row r="51" ht="14" customHeight="1">
      <c r="A51" s="3"/>
      <c r="B51" s="80"/>
      <c r="C51" s="80"/>
      <c r="D51" s="80"/>
      <c r="E51" s="80"/>
      <c r="F51" s="80"/>
      <c r="G51" s="80"/>
      <c r="H51" s="80"/>
      <c r="I51" s="80"/>
      <c r="J51" s="80"/>
      <c r="K51" s="2"/>
      <c r="L51" s="2"/>
      <c r="M51" s="2"/>
      <c r="N51" s="2"/>
      <c r="O51" s="2"/>
      <c r="P51" s="108"/>
      <c r="Q51" s="108"/>
      <c r="R51" s="2"/>
    </row>
    <row r="52" ht="13.5" customHeight="1">
      <c r="A52" s="3"/>
      <c r="B52" t="s" s="114">
        <v>91</v>
      </c>
      <c r="C52" t="s" s="115">
        <v>92</v>
      </c>
      <c r="D52" s="116"/>
      <c r="E52" s="116"/>
      <c r="F52" s="116"/>
      <c r="G52" s="116"/>
      <c r="H52" s="116"/>
      <c r="I52" s="116"/>
      <c r="J52" s="80"/>
      <c r="K52" s="2"/>
      <c r="L52" s="2"/>
      <c r="M52" s="2"/>
      <c r="N52" s="2"/>
      <c r="O52" s="2"/>
      <c r="P52" s="2"/>
      <c r="Q52" s="2"/>
      <c r="R52" s="2"/>
    </row>
    <row r="53" ht="13" customHeight="1">
      <c r="A53" s="3"/>
      <c r="B53" s="117"/>
      <c r="C53" s="116"/>
      <c r="D53" s="116"/>
      <c r="E53" s="116"/>
      <c r="F53" s="116"/>
      <c r="G53" s="116"/>
      <c r="H53" s="116"/>
      <c r="I53" s="116"/>
      <c r="J53" s="80"/>
      <c r="K53" s="2"/>
      <c r="L53" s="2"/>
      <c r="M53" s="2"/>
      <c r="N53" s="2"/>
      <c r="O53" s="2"/>
      <c r="P53" s="2"/>
      <c r="Q53" s="2"/>
      <c r="R53" s="2"/>
    </row>
    <row r="54" ht="14.25" customHeight="1">
      <c r="A54" s="3"/>
      <c r="B54" t="s" s="118">
        <v>93</v>
      </c>
      <c r="C54" t="s" s="115">
        <v>94</v>
      </c>
      <c r="D54" s="116"/>
      <c r="E54" s="116"/>
      <c r="F54" s="116"/>
      <c r="G54" s="116"/>
      <c r="H54" s="116"/>
      <c r="I54" s="116"/>
      <c r="J54" s="116"/>
      <c r="K54" s="2"/>
      <c r="L54" s="2"/>
      <c r="M54" s="2"/>
      <c r="N54" s="2"/>
      <c r="O54" s="2"/>
      <c r="P54" s="2"/>
      <c r="Q54" s="2"/>
      <c r="R54" s="2"/>
    </row>
    <row r="55" ht="13" customHeight="1">
      <c r="A55" s="3"/>
      <c r="B55" s="118"/>
      <c r="C55" s="116"/>
      <c r="D55" s="116"/>
      <c r="E55" s="116"/>
      <c r="F55" s="116"/>
      <c r="G55" s="116"/>
      <c r="H55" s="116"/>
      <c r="I55" s="116"/>
      <c r="J55" s="116"/>
      <c r="K55" s="2"/>
      <c r="L55" s="2"/>
      <c r="M55" s="2"/>
      <c r="N55" s="2"/>
      <c r="O55" s="2"/>
      <c r="P55" s="2"/>
      <c r="Q55" s="2"/>
      <c r="R55" s="2"/>
    </row>
    <row r="56" ht="13" customHeight="1">
      <c r="A56" s="3"/>
      <c r="B56" s="118"/>
      <c r="C56" s="116"/>
      <c r="D56" s="116"/>
      <c r="E56" s="116"/>
      <c r="F56" s="116"/>
      <c r="G56" s="116"/>
      <c r="H56" s="116"/>
      <c r="I56" s="116"/>
      <c r="J56" s="116"/>
      <c r="K56" s="2"/>
      <c r="L56" s="2"/>
      <c r="M56" s="2"/>
      <c r="N56" s="2"/>
      <c r="O56" s="2"/>
      <c r="P56" s="2"/>
      <c r="Q56" s="2"/>
      <c r="R56" s="2"/>
    </row>
    <row r="57" ht="13" customHeight="1">
      <c r="A57" s="3"/>
      <c r="B57" t="s" s="119">
        <v>95</v>
      </c>
      <c r="C57" t="s" s="120">
        <v>96</v>
      </c>
      <c r="D57" s="121"/>
      <c r="E57" s="121"/>
      <c r="F57" s="121"/>
      <c r="G57" s="121"/>
      <c r="H57" s="121"/>
      <c r="I57" s="121"/>
      <c r="J57" s="80"/>
      <c r="K57" s="2"/>
      <c r="L57" s="2"/>
      <c r="M57" s="2"/>
      <c r="N57" s="2"/>
      <c r="O57" s="2"/>
      <c r="P57" s="2"/>
      <c r="Q57" s="2"/>
      <c r="R57" s="2"/>
    </row>
    <row r="58" ht="13" customHeight="1">
      <c r="A58" s="3"/>
      <c r="B58" s="122"/>
      <c r="C58" s="80"/>
      <c r="D58" s="80"/>
      <c r="E58" s="80"/>
      <c r="F58" s="80"/>
      <c r="G58" s="80"/>
      <c r="H58" s="80"/>
      <c r="I58" s="80"/>
      <c r="J58" s="80"/>
      <c r="K58" s="2"/>
      <c r="L58" s="2"/>
      <c r="M58" s="2"/>
      <c r="N58" s="2"/>
      <c r="O58" s="2"/>
      <c r="P58" s="2"/>
      <c r="Q58" s="2"/>
      <c r="R58" s="2"/>
    </row>
    <row r="59" ht="13" customHeight="1">
      <c r="A59" s="3"/>
      <c r="B59" s="122"/>
      <c r="C59" s="80"/>
      <c r="D59" s="80"/>
      <c r="E59" s="80"/>
      <c r="F59" s="80"/>
      <c r="G59" s="80"/>
      <c r="H59" s="80"/>
      <c r="I59" t="s" s="4">
        <v>0</v>
      </c>
      <c r="J59" s="80"/>
      <c r="K59" s="2"/>
      <c r="L59" s="2"/>
      <c r="M59" s="2"/>
      <c r="N59" s="2"/>
      <c r="O59" s="2"/>
      <c r="P59" s="2"/>
      <c r="Q59" s="2"/>
      <c r="R59" s="2"/>
    </row>
    <row r="60" ht="13" customHeight="1">
      <c r="A60" s="80"/>
      <c r="B60" s="122"/>
      <c r="C60" t="s" s="119">
        <v>97</v>
      </c>
      <c r="D60" s="122"/>
      <c r="E60" s="122"/>
      <c r="F60" s="122"/>
      <c r="G60" s="122"/>
      <c r="H60" s="122"/>
      <c r="I60" t="s" s="6">
        <v>2</v>
      </c>
      <c r="J60" s="122"/>
      <c r="K60" s="2"/>
      <c r="L60" s="2"/>
      <c r="M60" s="2"/>
      <c r="N60" s="2"/>
      <c r="O60" s="2"/>
      <c r="P60" s="2"/>
      <c r="Q60" s="2"/>
      <c r="R60" s="2"/>
    </row>
    <row r="61" ht="13" customHeight="1">
      <c r="A61" s="80"/>
      <c r="B61" s="122"/>
      <c r="C61" s="80"/>
      <c r="D61" s="80"/>
      <c r="E61" s="80"/>
      <c r="F61" s="80"/>
      <c r="G61" s="80"/>
      <c r="H61" s="80"/>
      <c r="I61" s="80"/>
      <c r="J61" s="80"/>
      <c r="K61" s="2"/>
      <c r="L61" s="2"/>
      <c r="M61" s="2"/>
      <c r="N61" s="2"/>
      <c r="O61" s="2"/>
      <c r="P61" s="2"/>
      <c r="Q61" s="2"/>
      <c r="R61" s="2"/>
    </row>
    <row r="62" ht="14.25" customHeight="1">
      <c r="A62" s="123"/>
      <c r="B62" t="s" s="118">
        <v>98</v>
      </c>
      <c r="C62" t="s" s="115">
        <v>99</v>
      </c>
      <c r="D62" s="116"/>
      <c r="E62" s="116"/>
      <c r="F62" s="116"/>
      <c r="G62" s="116"/>
      <c r="H62" s="116"/>
      <c r="I62" s="116"/>
      <c r="J62" s="116"/>
      <c r="K62" s="2"/>
      <c r="L62" s="2"/>
      <c r="M62" s="2"/>
      <c r="N62" s="2"/>
      <c r="O62" s="2"/>
      <c r="P62" s="2"/>
      <c r="Q62" s="2"/>
      <c r="R62" s="108"/>
    </row>
    <row r="63" ht="13" customHeight="1">
      <c r="A63" s="123"/>
      <c r="B63" s="118"/>
      <c r="C63" s="116"/>
      <c r="D63" s="116"/>
      <c r="E63" s="116"/>
      <c r="F63" s="116"/>
      <c r="G63" s="116"/>
      <c r="H63" s="116"/>
      <c r="I63" s="116"/>
      <c r="J63" s="116"/>
      <c r="K63" s="2"/>
      <c r="L63" s="2"/>
      <c r="M63" s="2"/>
      <c r="N63" s="2"/>
      <c r="O63" s="2"/>
      <c r="P63" s="2"/>
      <c r="Q63" s="2"/>
      <c r="R63" s="2"/>
    </row>
    <row r="64" ht="13" customHeight="1">
      <c r="A64" s="123"/>
      <c r="B64" s="118"/>
      <c r="C64" s="116"/>
      <c r="D64" s="116"/>
      <c r="E64" s="116"/>
      <c r="F64" s="116"/>
      <c r="G64" s="116"/>
      <c r="H64" s="116"/>
      <c r="I64" s="116"/>
      <c r="J64" s="116"/>
      <c r="K64" s="2"/>
      <c r="L64" s="2"/>
      <c r="M64" s="2"/>
      <c r="N64" s="2"/>
      <c r="O64" s="2"/>
      <c r="P64" s="2"/>
      <c r="Q64" s="2"/>
      <c r="R64" s="2"/>
    </row>
    <row r="65" ht="13" customHeight="1">
      <c r="A65" s="2"/>
      <c r="B65" t="s" s="119">
        <v>100</v>
      </c>
      <c r="C65" t="s" s="120">
        <v>101</v>
      </c>
      <c r="D65" s="121"/>
      <c r="E65" s="121"/>
      <c r="F65" s="121"/>
      <c r="G65" s="121"/>
      <c r="H65" s="121"/>
      <c r="I65" s="121"/>
      <c r="J65" s="80"/>
      <c r="K65" s="2"/>
      <c r="L65" s="2"/>
      <c r="M65" s="2"/>
      <c r="N65" s="2"/>
      <c r="O65" s="2"/>
      <c r="P65" s="2"/>
      <c r="Q65" s="2"/>
      <c r="R65" s="2"/>
    </row>
    <row r="66" ht="13.5" customHeight="1">
      <c r="A66" s="2"/>
      <c r="B66" t="s" s="118">
        <v>102</v>
      </c>
      <c r="C66" t="s" s="115">
        <v>103</v>
      </c>
      <c r="D66" s="116"/>
      <c r="E66" s="116"/>
      <c r="F66" s="116"/>
      <c r="G66" s="116"/>
      <c r="H66" s="116"/>
      <c r="I66" s="116"/>
      <c r="J66" s="116"/>
      <c r="K66" s="2"/>
      <c r="L66" s="2"/>
      <c r="M66" s="2"/>
      <c r="N66" s="2"/>
      <c r="O66" s="2"/>
      <c r="P66" s="2"/>
      <c r="Q66" s="2"/>
      <c r="R66" s="2"/>
    </row>
    <row r="67" ht="13" customHeight="1">
      <c r="A67" s="123"/>
      <c r="B67" s="118"/>
      <c r="C67" s="116"/>
      <c r="D67" s="116"/>
      <c r="E67" s="116"/>
      <c r="F67" s="116"/>
      <c r="G67" s="116"/>
      <c r="H67" s="116"/>
      <c r="I67" s="116"/>
      <c r="J67" s="116"/>
      <c r="K67" s="2"/>
      <c r="L67" s="2"/>
      <c r="M67" s="2"/>
      <c r="N67" s="2"/>
      <c r="O67" s="2"/>
      <c r="P67" s="2"/>
      <c r="Q67" s="2"/>
      <c r="R67" s="2"/>
    </row>
    <row r="68" ht="13.5" customHeight="1">
      <c r="A68" s="2"/>
      <c r="B68" t="s" s="118">
        <v>104</v>
      </c>
      <c r="C68" t="s" s="115">
        <v>105</v>
      </c>
      <c r="D68" s="116"/>
      <c r="E68" s="116"/>
      <c r="F68" s="116"/>
      <c r="G68" s="116"/>
      <c r="H68" s="116"/>
      <c r="I68" s="116"/>
      <c r="J68" s="116"/>
      <c r="K68" s="2"/>
      <c r="L68" s="2"/>
      <c r="M68" s="2"/>
      <c r="N68" s="2"/>
      <c r="O68" s="2"/>
      <c r="P68" s="2"/>
      <c r="Q68" s="2"/>
      <c r="R68" s="2"/>
    </row>
    <row r="69" ht="13" customHeight="1">
      <c r="A69" s="123"/>
      <c r="B69" s="118"/>
      <c r="C69" s="116"/>
      <c r="D69" s="116"/>
      <c r="E69" s="116"/>
      <c r="F69" s="116"/>
      <c r="G69" s="116"/>
      <c r="H69" s="116"/>
      <c r="I69" s="116"/>
      <c r="J69" s="116"/>
      <c r="K69" s="2"/>
      <c r="L69" s="2"/>
      <c r="M69" s="2"/>
      <c r="N69" s="2"/>
      <c r="O69" s="2"/>
      <c r="P69" s="2"/>
      <c r="Q69" s="2"/>
      <c r="R69" s="2"/>
    </row>
    <row r="70" ht="13.5" customHeight="1">
      <c r="A70" s="2"/>
      <c r="B70" t="s" s="118">
        <v>106</v>
      </c>
      <c r="C70" t="s" s="115">
        <v>107</v>
      </c>
      <c r="D70" s="116"/>
      <c r="E70" s="116"/>
      <c r="F70" s="116"/>
      <c r="G70" s="116"/>
      <c r="H70" s="116"/>
      <c r="I70" s="116"/>
      <c r="J70" s="116"/>
      <c r="K70" s="2"/>
      <c r="L70" s="2"/>
      <c r="M70" s="2"/>
      <c r="N70" s="2"/>
      <c r="O70" s="2"/>
      <c r="P70" s="2"/>
      <c r="Q70" s="2"/>
      <c r="R70" s="2"/>
    </row>
    <row r="71" ht="13" customHeight="1">
      <c r="A71" s="123"/>
      <c r="B71" s="118"/>
      <c r="C71" s="116"/>
      <c r="D71" s="116"/>
      <c r="E71" s="116"/>
      <c r="F71" s="116"/>
      <c r="G71" s="116"/>
      <c r="H71" s="116"/>
      <c r="I71" s="116"/>
      <c r="J71" s="116"/>
      <c r="K71" s="2"/>
      <c r="L71" s="2"/>
      <c r="M71" s="2"/>
      <c r="N71" s="2"/>
      <c r="O71" s="2"/>
      <c r="P71" s="2"/>
      <c r="Q71" s="2"/>
      <c r="R71" s="2"/>
    </row>
    <row r="72" ht="16" customHeight="1">
      <c r="A72" s="2"/>
      <c r="B72" t="s" s="118">
        <v>108</v>
      </c>
      <c r="C72" t="s" s="120">
        <v>109</v>
      </c>
      <c r="D72" s="121"/>
      <c r="E72" s="121"/>
      <c r="F72" s="121"/>
      <c r="G72" s="121"/>
      <c r="H72" s="121"/>
      <c r="I72" s="121"/>
      <c r="J72" s="80"/>
      <c r="K72" s="2"/>
      <c r="L72" s="2"/>
      <c r="M72" s="2"/>
      <c r="N72" s="2"/>
      <c r="O72" s="2"/>
      <c r="P72" s="2"/>
      <c r="Q72" s="2"/>
      <c r="R72" s="2"/>
    </row>
    <row r="73" ht="13.5" customHeight="1">
      <c r="A73" s="2"/>
      <c r="B73" t="s" s="118">
        <v>110</v>
      </c>
      <c r="C73" t="s" s="115">
        <v>111</v>
      </c>
      <c r="D73" s="116"/>
      <c r="E73" s="116"/>
      <c r="F73" s="116"/>
      <c r="G73" s="116"/>
      <c r="H73" s="116"/>
      <c r="I73" s="116"/>
      <c r="J73" s="116"/>
      <c r="K73" s="2"/>
      <c r="L73" s="2"/>
      <c r="M73" s="2"/>
      <c r="N73" s="2"/>
      <c r="O73" s="2"/>
      <c r="P73" s="2"/>
      <c r="Q73" s="2"/>
      <c r="R73" s="2"/>
    </row>
    <row r="74" ht="13" customHeight="1">
      <c r="A74" s="123"/>
      <c r="B74" s="118"/>
      <c r="C74" s="116"/>
      <c r="D74" s="116"/>
      <c r="E74" s="116"/>
      <c r="F74" s="116"/>
      <c r="G74" s="116"/>
      <c r="H74" s="116"/>
      <c r="I74" s="116"/>
      <c r="J74" s="116"/>
      <c r="K74" s="2"/>
      <c r="L74" s="2"/>
      <c r="M74" s="2"/>
      <c r="N74" s="2"/>
      <c r="O74" s="2"/>
      <c r="P74" s="2"/>
      <c r="Q74" s="2"/>
      <c r="R74" s="2"/>
    </row>
    <row r="75" ht="13" customHeight="1">
      <c r="A75" s="123"/>
      <c r="B75" s="118"/>
      <c r="C75" s="116"/>
      <c r="D75" s="116"/>
      <c r="E75" s="116"/>
      <c r="F75" s="116"/>
      <c r="G75" s="116"/>
      <c r="H75" s="116"/>
      <c r="I75" s="116"/>
      <c r="J75" s="116"/>
      <c r="K75" s="2"/>
      <c r="L75" s="2"/>
      <c r="M75" s="2"/>
      <c r="N75" s="2"/>
      <c r="O75" s="2"/>
      <c r="P75" s="2"/>
      <c r="Q75" s="2"/>
      <c r="R75" s="2"/>
    </row>
    <row r="76" ht="13.25" customHeight="1">
      <c r="A76" s="2"/>
      <c r="B76" t="s" s="124">
        <v>112</v>
      </c>
      <c r="C76" t="s" s="115">
        <v>113</v>
      </c>
      <c r="D76" s="116"/>
      <c r="E76" s="116"/>
      <c r="F76" s="116"/>
      <c r="G76" s="116"/>
      <c r="H76" s="116"/>
      <c r="I76" s="116"/>
      <c r="J76" s="116"/>
      <c r="K76" s="2"/>
      <c r="L76" s="2"/>
      <c r="M76" s="2"/>
      <c r="N76" s="2"/>
      <c r="O76" s="2"/>
      <c r="P76" s="2"/>
      <c r="Q76" s="2"/>
      <c r="R76" s="2"/>
    </row>
    <row r="77" ht="13" customHeight="1">
      <c r="A77" s="123"/>
      <c r="B77" s="51"/>
      <c r="C77" s="116"/>
      <c r="D77" s="116"/>
      <c r="E77" s="116"/>
      <c r="F77" s="116"/>
      <c r="G77" s="116"/>
      <c r="H77" s="116"/>
      <c r="I77" s="116"/>
      <c r="J77" s="116"/>
      <c r="K77" s="2"/>
      <c r="L77" s="2"/>
      <c r="M77" s="2"/>
      <c r="N77" s="2"/>
      <c r="O77" s="2"/>
      <c r="P77" s="2"/>
      <c r="Q77" s="2"/>
      <c r="R77" s="2"/>
    </row>
    <row r="78" ht="13" customHeight="1">
      <c r="A78" s="123"/>
      <c r="B78" s="51"/>
      <c r="C78" s="116"/>
      <c r="D78" s="116"/>
      <c r="E78" s="116"/>
      <c r="F78" s="116"/>
      <c r="G78" s="116"/>
      <c r="H78" s="116"/>
      <c r="I78" s="116"/>
      <c r="J78" s="116"/>
      <c r="K78" s="2"/>
      <c r="L78" s="2"/>
      <c r="M78" s="2"/>
      <c r="N78" s="2"/>
      <c r="O78" s="2"/>
      <c r="P78" s="2"/>
      <c r="Q78" s="2"/>
      <c r="R78" s="2"/>
    </row>
    <row r="79" ht="13" customHeight="1">
      <c r="A79" s="123"/>
      <c r="B79" s="51"/>
      <c r="C79" s="116"/>
      <c r="D79" s="116"/>
      <c r="E79" s="116"/>
      <c r="F79" s="116"/>
      <c r="G79" s="116"/>
      <c r="H79" s="116"/>
      <c r="I79" s="116"/>
      <c r="J79" s="116"/>
      <c r="K79" s="2"/>
      <c r="L79" s="2"/>
      <c r="M79" s="2"/>
      <c r="N79" s="2"/>
      <c r="O79" s="2"/>
      <c r="P79" s="2"/>
      <c r="Q79" s="2"/>
      <c r="R79" s="2"/>
    </row>
    <row r="80" ht="13" customHeight="1">
      <c r="A80" s="80"/>
      <c r="B80" s="80"/>
      <c r="C80" s="80"/>
      <c r="D80" s="80"/>
      <c r="E80" s="80"/>
      <c r="F80" s="80"/>
      <c r="G80" s="80"/>
      <c r="H80" s="80"/>
      <c r="I80" s="80"/>
      <c r="J80" s="80"/>
      <c r="K80" s="2"/>
      <c r="L80" s="2"/>
      <c r="M80" s="2"/>
      <c r="N80" s="2"/>
      <c r="O80" s="2"/>
      <c r="P80" s="2"/>
      <c r="Q80" s="2"/>
      <c r="R80" s="2"/>
    </row>
    <row r="81" ht="13.5" customHeight="1">
      <c r="A81" s="2"/>
      <c r="B81" t="s" s="125">
        <v>114</v>
      </c>
      <c r="C81" t="s" s="115">
        <v>115</v>
      </c>
      <c r="D81" s="116"/>
      <c r="E81" s="116"/>
      <c r="F81" s="116"/>
      <c r="G81" s="116"/>
      <c r="H81" s="116"/>
      <c r="I81" s="116"/>
      <c r="J81" s="116"/>
      <c r="K81" s="2"/>
      <c r="L81" s="2"/>
      <c r="M81" s="2"/>
      <c r="N81" s="2"/>
      <c r="O81" s="2"/>
      <c r="P81" s="2"/>
      <c r="Q81" s="2"/>
      <c r="R81" s="2"/>
    </row>
    <row r="82" ht="13" customHeight="1">
      <c r="A82" s="123"/>
      <c r="B82" s="123"/>
      <c r="C82" s="116"/>
      <c r="D82" s="116"/>
      <c r="E82" s="116"/>
      <c r="F82" s="116"/>
      <c r="G82" s="116"/>
      <c r="H82" s="116"/>
      <c r="I82" s="116"/>
      <c r="J82" s="116"/>
      <c r="K82" s="2"/>
      <c r="L82" s="2"/>
      <c r="M82" s="2"/>
      <c r="N82" s="2"/>
      <c r="O82" s="2"/>
      <c r="P82" s="2"/>
      <c r="Q82" s="2"/>
      <c r="R82" s="2"/>
    </row>
    <row r="83" ht="13" customHeight="1">
      <c r="A83" s="123"/>
      <c r="B83" s="123"/>
      <c r="C83" s="116"/>
      <c r="D83" s="116"/>
      <c r="E83" s="116"/>
      <c r="F83" s="116"/>
      <c r="G83" s="116"/>
      <c r="H83" s="116"/>
      <c r="I83" s="116"/>
      <c r="J83" s="116"/>
      <c r="K83" s="2"/>
      <c r="L83" s="2"/>
      <c r="M83" s="2"/>
      <c r="N83" s="2"/>
      <c r="O83" s="2"/>
      <c r="P83" s="2"/>
      <c r="Q83" s="2"/>
      <c r="R83" s="2"/>
    </row>
    <row r="84" ht="13" customHeight="1">
      <c r="A84" s="123"/>
      <c r="B84" s="123"/>
      <c r="C84" s="123"/>
      <c r="D84" s="123"/>
      <c r="E84" s="123"/>
      <c r="F84" s="123"/>
      <c r="G84" s="123"/>
      <c r="H84" s="123"/>
      <c r="I84" s="123"/>
      <c r="J84" s="123"/>
      <c r="K84" s="2"/>
      <c r="L84" s="2"/>
      <c r="M84" s="2"/>
      <c r="N84" s="2"/>
      <c r="O84" s="2"/>
      <c r="P84" s="2"/>
      <c r="Q84" s="2"/>
      <c r="R84" s="2"/>
    </row>
    <row r="85" ht="13.5" customHeight="1">
      <c r="A85" s="2"/>
      <c r="B85" t="s" s="125">
        <v>116</v>
      </c>
      <c r="C85" t="s" s="115">
        <v>117</v>
      </c>
      <c r="D85" s="116"/>
      <c r="E85" s="116"/>
      <c r="F85" s="116"/>
      <c r="G85" s="116"/>
      <c r="H85" s="116"/>
      <c r="I85" s="116"/>
      <c r="J85" s="116"/>
      <c r="K85" s="2"/>
      <c r="L85" s="2"/>
      <c r="M85" s="2"/>
      <c r="N85" s="2"/>
      <c r="O85" s="2"/>
      <c r="P85" s="2"/>
      <c r="Q85" s="2"/>
      <c r="R85" s="2"/>
    </row>
    <row r="86" ht="13" customHeight="1">
      <c r="A86" s="123"/>
      <c r="B86" s="123"/>
      <c r="C86" s="116"/>
      <c r="D86" s="116"/>
      <c r="E86" s="116"/>
      <c r="F86" s="116"/>
      <c r="G86" s="116"/>
      <c r="H86" s="116"/>
      <c r="I86" s="116"/>
      <c r="J86" s="116"/>
      <c r="K86" s="2"/>
      <c r="L86" s="2"/>
      <c r="M86" s="2"/>
      <c r="N86" s="2"/>
      <c r="O86" s="2"/>
      <c r="P86" s="2"/>
      <c r="Q86" s="2"/>
      <c r="R86" s="2"/>
    </row>
    <row r="87" ht="13" customHeight="1">
      <c r="A87" s="123"/>
      <c r="B87" s="123"/>
      <c r="C87" s="116"/>
      <c r="D87" s="116"/>
      <c r="E87" s="116"/>
      <c r="F87" s="116"/>
      <c r="G87" s="116"/>
      <c r="H87" s="116"/>
      <c r="I87" s="116"/>
      <c r="J87" s="116"/>
      <c r="K87" s="2"/>
      <c r="L87" s="2"/>
      <c r="M87" s="2"/>
      <c r="N87" s="2"/>
      <c r="O87" s="2"/>
      <c r="P87" s="2"/>
      <c r="Q87" s="2"/>
      <c r="R87" s="2"/>
    </row>
    <row r="88" ht="13" customHeight="1">
      <c r="A88" t="s" s="86">
        <v>118</v>
      </c>
      <c r="B88" t="s" s="86">
        <v>118</v>
      </c>
      <c r="C88" s="80"/>
      <c r="D88" s="80"/>
      <c r="E88" s="80"/>
      <c r="F88" s="80"/>
      <c r="G88" t="s" s="86">
        <v>119</v>
      </c>
      <c r="H88" s="80"/>
      <c r="I88" s="80"/>
      <c r="J88" s="80"/>
      <c r="K88" s="2"/>
      <c r="L88" s="2"/>
      <c r="M88" s="2"/>
      <c r="N88" s="2"/>
      <c r="O88" s="2"/>
      <c r="P88" s="2"/>
      <c r="Q88" s="2"/>
      <c r="R88" s="2"/>
    </row>
    <row r="89" ht="13" customHeight="1">
      <c r="A89" t="s" s="86">
        <v>120</v>
      </c>
      <c r="B89" t="s" s="86">
        <v>120</v>
      </c>
      <c r="C89" s="80"/>
      <c r="D89" s="80"/>
      <c r="E89" s="80"/>
      <c r="F89" s="80"/>
      <c r="G89" t="s" s="86">
        <v>121</v>
      </c>
      <c r="H89" s="80"/>
      <c r="I89" s="80"/>
      <c r="J89" s="80"/>
      <c r="K89" s="2"/>
      <c r="L89" s="2"/>
      <c r="M89" s="2"/>
      <c r="N89" s="2"/>
      <c r="O89" s="2"/>
      <c r="P89" s="2"/>
      <c r="Q89" s="2"/>
      <c r="R89" s="2"/>
    </row>
    <row r="90" ht="13" customHeight="1">
      <c r="A90" t="s" s="86">
        <v>122</v>
      </c>
      <c r="B90" t="s" s="86">
        <v>122</v>
      </c>
      <c r="C90" s="80"/>
      <c r="D90" s="80"/>
      <c r="E90" s="80"/>
      <c r="F90" s="80"/>
      <c r="G90" t="s" s="86">
        <v>123</v>
      </c>
      <c r="H90" s="80"/>
      <c r="I90" s="80"/>
      <c r="J90" s="80"/>
      <c r="K90" s="2"/>
      <c r="L90" s="2"/>
      <c r="M90" s="2"/>
      <c r="N90" s="2"/>
      <c r="O90" s="2"/>
      <c r="P90" s="2"/>
      <c r="Q90" s="2"/>
      <c r="R90" s="2"/>
    </row>
    <row r="91" ht="13" customHeight="1">
      <c r="A91" t="s" s="86">
        <v>124</v>
      </c>
      <c r="B91" t="s" s="86">
        <v>124</v>
      </c>
      <c r="C91" s="2"/>
      <c r="D91" s="2"/>
      <c r="E91" s="80"/>
      <c r="F91" s="80"/>
      <c r="G91" s="80"/>
      <c r="H91" s="80"/>
      <c r="I91" s="80"/>
      <c r="J91" s="80"/>
      <c r="K91" s="2"/>
      <c r="L91" s="2"/>
      <c r="M91" s="2"/>
      <c r="N91" s="2"/>
      <c r="O91" s="2"/>
      <c r="P91" s="2"/>
      <c r="Q91" s="2"/>
      <c r="R91" s="2"/>
    </row>
    <row r="92" ht="13" customHeight="1">
      <c r="A92" s="80"/>
      <c r="B92" s="80"/>
      <c r="C92" s="80"/>
      <c r="D92" s="80"/>
      <c r="E92" s="80"/>
      <c r="F92" s="80"/>
      <c r="G92" s="80"/>
      <c r="H92" s="80"/>
      <c r="I92" s="80"/>
      <c r="J92" s="80"/>
      <c r="K92" s="2"/>
      <c r="L92" s="2"/>
      <c r="M92" s="2"/>
      <c r="N92" s="2"/>
      <c r="O92" s="2"/>
      <c r="P92" s="2"/>
      <c r="Q92" s="2"/>
      <c r="R92" s="2"/>
    </row>
    <row r="93" ht="13.5" customHeight="1">
      <c r="A93" s="2"/>
      <c r="B93" t="s" s="125">
        <v>125</v>
      </c>
      <c r="C93" t="s" s="115">
        <v>126</v>
      </c>
      <c r="D93" s="116"/>
      <c r="E93" s="116"/>
      <c r="F93" s="116"/>
      <c r="G93" s="116"/>
      <c r="H93" s="116"/>
      <c r="I93" s="116"/>
      <c r="J93" s="116"/>
      <c r="K93" s="2"/>
      <c r="L93" s="2"/>
      <c r="M93" s="2"/>
      <c r="N93" s="2"/>
      <c r="O93" s="2"/>
      <c r="P93" s="2"/>
      <c r="Q93" s="2"/>
      <c r="R93" s="2"/>
    </row>
    <row r="94" ht="13" customHeight="1">
      <c r="A94" s="123"/>
      <c r="B94" s="123"/>
      <c r="C94" s="116"/>
      <c r="D94" s="116"/>
      <c r="E94" s="116"/>
      <c r="F94" s="116"/>
      <c r="G94" s="116"/>
      <c r="H94" s="116"/>
      <c r="I94" s="116"/>
      <c r="J94" s="116"/>
      <c r="K94" s="2"/>
      <c r="L94" s="2"/>
      <c r="M94" s="2"/>
      <c r="N94" s="2"/>
      <c r="O94" s="2"/>
      <c r="P94" s="2"/>
      <c r="Q94" s="2"/>
      <c r="R94" s="2"/>
    </row>
    <row r="95" ht="13" customHeight="1">
      <c r="A95" s="123"/>
      <c r="B95" s="123"/>
      <c r="C95" s="116"/>
      <c r="D95" s="116"/>
      <c r="E95" s="116"/>
      <c r="F95" s="116"/>
      <c r="G95" s="116"/>
      <c r="H95" s="116"/>
      <c r="I95" s="116"/>
      <c r="J95" s="116"/>
      <c r="K95" s="2"/>
      <c r="L95" s="2"/>
      <c r="M95" s="2"/>
      <c r="N95" s="2"/>
      <c r="O95" s="2"/>
      <c r="P95" s="2"/>
      <c r="Q95" s="2"/>
      <c r="R95" s="2"/>
    </row>
    <row r="96" ht="13" customHeight="1">
      <c r="A96" s="80"/>
      <c r="B96" s="80"/>
      <c r="C96" s="80"/>
      <c r="D96" s="80"/>
      <c r="E96" s="80"/>
      <c r="F96" s="80"/>
      <c r="G96" s="80"/>
      <c r="H96" s="80"/>
      <c r="I96" s="80"/>
      <c r="J96" s="80"/>
      <c r="K96" s="2"/>
      <c r="L96" s="2"/>
      <c r="M96" s="2"/>
      <c r="N96" s="2"/>
      <c r="O96" s="2"/>
      <c r="P96" s="2"/>
      <c r="Q96" s="2"/>
      <c r="R96" s="2"/>
    </row>
    <row r="97" ht="13.5" customHeight="1">
      <c r="A97" s="2"/>
      <c r="B97" t="s" s="125">
        <v>127</v>
      </c>
      <c r="C97" t="s" s="126">
        <v>128</v>
      </c>
      <c r="D97" s="127"/>
      <c r="E97" s="127"/>
      <c r="F97" s="127"/>
      <c r="G97" s="127"/>
      <c r="H97" s="127"/>
      <c r="I97" s="127"/>
      <c r="J97" s="2"/>
      <c r="K97" s="2"/>
      <c r="L97" s="2"/>
      <c r="M97" s="2"/>
      <c r="N97" s="2"/>
      <c r="O97" s="2"/>
      <c r="P97" s="2"/>
      <c r="Q97" s="2"/>
      <c r="R97" s="2"/>
    </row>
    <row r="98" ht="13" customHeight="1">
      <c r="A98" s="2"/>
      <c r="B98" s="128"/>
      <c r="C98" s="127"/>
      <c r="D98" s="127"/>
      <c r="E98" s="127"/>
      <c r="F98" s="127"/>
      <c r="G98" s="127"/>
      <c r="H98" s="127"/>
      <c r="I98" s="127"/>
      <c r="J98" s="2"/>
      <c r="K98" s="2"/>
      <c r="L98" s="2"/>
      <c r="M98" s="2"/>
      <c r="N98" s="2"/>
      <c r="O98" s="2"/>
      <c r="P98" s="2"/>
      <c r="Q98" s="2"/>
      <c r="R98" s="2"/>
    </row>
    <row r="99" ht="24" customHeight="1">
      <c r="A99" s="2"/>
      <c r="B99" s="128"/>
      <c r="C99" s="127"/>
      <c r="D99" s="127"/>
      <c r="E99" s="127"/>
      <c r="F99" s="127"/>
      <c r="G99" s="127"/>
      <c r="H99" s="127"/>
      <c r="I99" s="127"/>
      <c r="J99" s="2"/>
      <c r="K99" s="2"/>
      <c r="L99" s="2"/>
      <c r="M99" s="2"/>
      <c r="N99" s="2"/>
      <c r="O99" s="2"/>
      <c r="P99" s="2"/>
      <c r="Q99" s="2"/>
      <c r="R99" s="2"/>
    </row>
    <row r="100" ht="13" customHeight="1">
      <c r="A100" s="80"/>
      <c r="B100" s="122"/>
      <c r="C100" s="80"/>
      <c r="D100" s="80"/>
      <c r="E100" s="80"/>
      <c r="F100" s="80"/>
      <c r="G100" s="80"/>
      <c r="H100" s="80"/>
      <c r="I100" s="80"/>
      <c r="J100" s="80"/>
      <c r="K100" s="2"/>
      <c r="L100" s="2"/>
      <c r="M100" s="2"/>
      <c r="N100" s="2"/>
      <c r="O100" s="2"/>
      <c r="P100" s="2"/>
      <c r="Q100" s="2"/>
      <c r="R100" s="2"/>
    </row>
    <row r="101" ht="13.5" customHeight="1">
      <c r="A101" s="2"/>
      <c r="B101" t="s" s="125">
        <v>129</v>
      </c>
      <c r="C101" t="s" s="115">
        <v>130</v>
      </c>
      <c r="D101" s="116"/>
      <c r="E101" s="116"/>
      <c r="F101" s="116"/>
      <c r="G101" s="116"/>
      <c r="H101" s="116"/>
      <c r="I101" s="116"/>
      <c r="J101" s="116"/>
      <c r="K101" s="2"/>
      <c r="L101" s="2"/>
      <c r="M101" s="2"/>
      <c r="N101" s="2"/>
      <c r="O101" s="2"/>
      <c r="P101" s="2"/>
      <c r="Q101" s="2"/>
      <c r="R101" s="2"/>
    </row>
    <row r="102" ht="24.75" customHeight="1">
      <c r="A102" s="123"/>
      <c r="B102" s="123"/>
      <c r="C102" s="116"/>
      <c r="D102" s="116"/>
      <c r="E102" s="116"/>
      <c r="F102" s="116"/>
      <c r="G102" s="116"/>
      <c r="H102" s="116"/>
      <c r="I102" s="116"/>
      <c r="J102" s="116"/>
      <c r="K102" s="2"/>
      <c r="L102" s="2"/>
      <c r="M102" s="2"/>
      <c r="N102" s="2"/>
      <c r="O102" s="2"/>
      <c r="P102" s="2"/>
      <c r="Q102" s="2"/>
      <c r="R102" s="2"/>
    </row>
    <row r="103" ht="13" customHeight="1">
      <c r="A103" s="80"/>
      <c r="B103" s="129"/>
      <c r="C103" s="129"/>
      <c r="D103" s="129"/>
      <c r="E103" s="129"/>
      <c r="F103" s="129"/>
      <c r="G103" s="129"/>
      <c r="H103" s="129"/>
      <c r="I103" s="129"/>
      <c r="J103" s="129"/>
      <c r="K103" s="2"/>
      <c r="L103" s="2"/>
      <c r="M103" s="2"/>
      <c r="N103" s="2"/>
      <c r="O103" s="2"/>
      <c r="P103" s="2"/>
      <c r="Q103" s="2"/>
      <c r="R103" s="2"/>
    </row>
    <row r="104" ht="13.5" customHeight="1">
      <c r="A104" s="130"/>
      <c r="B104" t="s" s="131">
        <v>131</v>
      </c>
      <c r="C104" t="s" s="132">
        <v>132</v>
      </c>
      <c r="D104" s="133"/>
      <c r="E104" s="133"/>
      <c r="F104" s="133"/>
      <c r="G104" s="133"/>
      <c r="H104" s="133"/>
      <c r="I104" s="133"/>
      <c r="J104" s="133"/>
      <c r="K104" s="134"/>
      <c r="L104" s="2"/>
      <c r="M104" s="2"/>
      <c r="N104" s="2"/>
      <c r="O104" s="2"/>
      <c r="P104" s="2"/>
      <c r="Q104" s="2"/>
      <c r="R104" s="2"/>
    </row>
    <row r="105" ht="13" customHeight="1">
      <c r="A105" s="135"/>
      <c r="B105" s="136"/>
      <c r="C105" s="133"/>
      <c r="D105" s="133"/>
      <c r="E105" s="133"/>
      <c r="F105" s="133"/>
      <c r="G105" s="133"/>
      <c r="H105" s="133"/>
      <c r="I105" s="133"/>
      <c r="J105" s="133"/>
      <c r="K105" s="134"/>
      <c r="L105" s="2"/>
      <c r="M105" s="2"/>
      <c r="N105" s="2"/>
      <c r="O105" s="2"/>
      <c r="P105" s="2"/>
      <c r="Q105" s="2"/>
      <c r="R105" s="2"/>
    </row>
    <row r="106" ht="13" customHeight="1">
      <c r="A106" s="137"/>
      <c r="B106" s="138"/>
      <c r="C106" s="139"/>
      <c r="D106" s="139"/>
      <c r="E106" s="139"/>
      <c r="F106" s="139"/>
      <c r="G106" s="139"/>
      <c r="H106" s="139"/>
      <c r="I106" s="139"/>
      <c r="J106" s="139"/>
      <c r="K106" s="2"/>
      <c r="L106" s="2"/>
      <c r="M106" s="2"/>
      <c r="N106" s="2"/>
      <c r="O106" s="2"/>
      <c r="P106" s="2"/>
      <c r="Q106" s="2"/>
      <c r="R106" s="2"/>
    </row>
    <row r="107" ht="13" customHeight="1">
      <c r="A107" s="140"/>
      <c r="B107" t="s" s="86">
        <v>133</v>
      </c>
      <c r="C107" t="s" s="120">
        <v>134</v>
      </c>
      <c r="D107" s="121"/>
      <c r="E107" s="121"/>
      <c r="F107" s="121"/>
      <c r="G107" s="121"/>
      <c r="H107" s="121"/>
      <c r="I107" s="121"/>
      <c r="J107" s="80"/>
      <c r="K107" s="2"/>
      <c r="L107" s="2"/>
      <c r="M107" s="2"/>
      <c r="N107" s="2"/>
      <c r="O107" s="2"/>
      <c r="P107" s="2"/>
      <c r="Q107" s="2"/>
      <c r="R107" s="2"/>
    </row>
    <row r="108" ht="13" customHeight="1">
      <c r="A108" s="137"/>
      <c r="B108" s="141"/>
      <c r="C108" s="129"/>
      <c r="D108" s="129"/>
      <c r="E108" s="129"/>
      <c r="F108" s="129"/>
      <c r="G108" s="129"/>
      <c r="H108" s="129"/>
      <c r="I108" s="129"/>
      <c r="J108" s="80"/>
      <c r="K108" s="2"/>
      <c r="L108" s="2"/>
      <c r="M108" s="2"/>
      <c r="N108" s="2"/>
      <c r="O108" s="2"/>
      <c r="P108" s="2"/>
      <c r="Q108" s="2"/>
      <c r="R108" s="2"/>
    </row>
    <row r="109" ht="13" customHeight="1">
      <c r="A109" s="142"/>
      <c r="B109" t="s" s="143">
        <v>135</v>
      </c>
      <c r="C109" t="s" s="144">
        <v>136</v>
      </c>
      <c r="D109" s="145"/>
      <c r="E109" s="145"/>
      <c r="F109" s="145"/>
      <c r="G109" s="145"/>
      <c r="H109" s="145"/>
      <c r="I109" s="145"/>
      <c r="J109" s="146"/>
      <c r="K109" s="2"/>
      <c r="L109" s="2"/>
      <c r="M109" s="2"/>
      <c r="N109" s="2"/>
      <c r="O109" s="2"/>
      <c r="P109" s="2"/>
      <c r="Q109" s="2"/>
      <c r="R109" s="2"/>
    </row>
    <row r="110" ht="13" customHeight="1">
      <c r="A110" s="80"/>
      <c r="B110" s="139"/>
      <c r="C110" s="139"/>
      <c r="D110" s="139"/>
      <c r="E110" s="139"/>
      <c r="F110" s="139"/>
      <c r="G110" s="139"/>
      <c r="H110" s="139"/>
      <c r="I110" s="139"/>
      <c r="J110" s="80"/>
      <c r="K110" s="2"/>
      <c r="L110" s="2"/>
      <c r="M110" s="2"/>
      <c r="N110" s="2"/>
      <c r="O110" s="2"/>
      <c r="P110" s="2"/>
      <c r="Q110" s="2"/>
      <c r="R110" s="2"/>
    </row>
    <row r="111" ht="13" customHeight="1">
      <c r="A111" t="s" s="56">
        <v>137</v>
      </c>
      <c r="B111" s="80"/>
      <c r="C111" s="80"/>
      <c r="D111" s="80"/>
      <c r="E111" s="80"/>
      <c r="F111" s="80"/>
      <c r="G111" s="80"/>
      <c r="H111" s="80"/>
      <c r="I111" s="80"/>
      <c r="J111" s="3"/>
      <c r="K111" s="2"/>
      <c r="L111" s="2"/>
      <c r="M111" s="2"/>
      <c r="N111" s="2"/>
      <c r="O111" s="2"/>
      <c r="P111" s="2"/>
      <c r="Q111" s="2"/>
      <c r="R111" s="2"/>
    </row>
    <row r="112" ht="13" customHeight="1">
      <c r="A112" t="s" s="56">
        <v>138</v>
      </c>
      <c r="B112" t="s" s="51">
        <v>139</v>
      </c>
      <c r="C112" s="5"/>
      <c r="D112" t="s" s="59">
        <v>140</v>
      </c>
      <c r="E112" s="60"/>
      <c r="F112" s="60"/>
      <c r="G112" s="60"/>
      <c r="H112" s="3"/>
      <c r="I112" s="3"/>
      <c r="J112" s="3"/>
      <c r="K112" s="2"/>
      <c r="L112" s="2"/>
      <c r="M112" s="2"/>
      <c r="N112" s="2"/>
      <c r="O112" s="2"/>
      <c r="P112" s="2"/>
      <c r="Q112" s="2"/>
      <c r="R112" s="2"/>
    </row>
    <row r="113" ht="13" customHeight="1">
      <c r="A113" s="3"/>
      <c r="B113" s="147"/>
      <c r="C113" s="147"/>
      <c r="D113" s="148"/>
      <c r="E113" s="148"/>
      <c r="F113" s="148"/>
      <c r="G113" s="148"/>
      <c r="H113" s="3"/>
      <c r="I113" s="3"/>
      <c r="J113" s="3"/>
      <c r="K113" s="2"/>
      <c r="L113" s="2"/>
      <c r="M113" s="2"/>
      <c r="N113" s="2"/>
      <c r="O113" s="2"/>
      <c r="P113" s="2"/>
      <c r="Q113" s="2"/>
      <c r="R113" s="2"/>
    </row>
    <row r="114" ht="13" customHeight="1">
      <c r="A114" s="2"/>
      <c r="B114" t="s" s="149">
        <v>141</v>
      </c>
      <c r="C114" s="52"/>
      <c r="D114" t="s" s="149">
        <v>142</v>
      </c>
      <c r="E114" s="52"/>
      <c r="F114" s="52"/>
      <c r="G114" t="s" s="149">
        <v>143</v>
      </c>
      <c r="H114" s="3"/>
      <c r="I114" s="2"/>
      <c r="J114" s="3"/>
      <c r="K114" s="2"/>
      <c r="L114" s="2"/>
      <c r="M114" s="2"/>
      <c r="N114" s="2"/>
      <c r="O114" s="2"/>
      <c r="P114" s="2"/>
      <c r="Q114" s="2"/>
      <c r="R114" s="2"/>
    </row>
    <row r="115" ht="13" customHeight="1">
      <c r="A115" t="s" s="56">
        <v>144</v>
      </c>
      <c r="B115" s="147"/>
      <c r="C115" s="147"/>
      <c r="D115" s="147"/>
      <c r="E115" s="147"/>
      <c r="F115" s="147"/>
      <c r="G115" s="147"/>
      <c r="H115" s="3"/>
      <c r="I115" s="3"/>
      <c r="J115" s="2"/>
      <c r="K115" s="2"/>
      <c r="L115" s="2"/>
      <c r="M115" s="2"/>
      <c r="N115" s="2"/>
      <c r="O115" s="2"/>
      <c r="P115" s="2"/>
      <c r="Q115" s="2"/>
      <c r="R115" s="2"/>
    </row>
    <row r="116" ht="13" customHeight="1">
      <c r="A116" s="3"/>
      <c r="B116" s="150"/>
      <c r="C116" s="150"/>
      <c r="D116" s="150"/>
      <c r="E116" s="150"/>
      <c r="F116" s="150"/>
      <c r="G116" s="150"/>
      <c r="H116" s="128"/>
      <c r="I116" s="128"/>
      <c r="J116" s="3"/>
      <c r="K116" s="2"/>
      <c r="L116" s="2"/>
      <c r="M116" s="2"/>
      <c r="N116" s="2"/>
      <c r="O116" s="2"/>
      <c r="P116" s="2"/>
      <c r="Q116" s="2"/>
      <c r="R116" s="2"/>
    </row>
  </sheetData>
  <mergeCells count="51">
    <mergeCell ref="B114:C115"/>
    <mergeCell ref="D114:F115"/>
    <mergeCell ref="G114:G115"/>
    <mergeCell ref="C101:I102"/>
    <mergeCell ref="C104:I105"/>
    <mergeCell ref="C107:I107"/>
    <mergeCell ref="C109:I109"/>
    <mergeCell ref="B112:C113"/>
    <mergeCell ref="D112:G113"/>
    <mergeCell ref="A80:H80"/>
    <mergeCell ref="C81:I83"/>
    <mergeCell ref="C85:I87"/>
    <mergeCell ref="C93:I95"/>
    <mergeCell ref="A96:H96"/>
    <mergeCell ref="C97:I99"/>
    <mergeCell ref="C66:I67"/>
    <mergeCell ref="C68:I69"/>
    <mergeCell ref="C70:I71"/>
    <mergeCell ref="C72:I72"/>
    <mergeCell ref="C73:I75"/>
    <mergeCell ref="C76:I79"/>
    <mergeCell ref="C52:I53"/>
    <mergeCell ref="C54:I56"/>
    <mergeCell ref="C57:I57"/>
    <mergeCell ref="C60:H60"/>
    <mergeCell ref="C62:I64"/>
    <mergeCell ref="C65:I65"/>
    <mergeCell ref="D40:F40"/>
    <mergeCell ref="C42:D42"/>
    <mergeCell ref="F45:G45"/>
    <mergeCell ref="E46:G46"/>
    <mergeCell ref="C47:D47"/>
    <mergeCell ref="E47:G47"/>
    <mergeCell ref="L21:M21"/>
    <mergeCell ref="F24:G24"/>
    <mergeCell ref="F25:G25"/>
    <mergeCell ref="F26:G26"/>
    <mergeCell ref="E27:G27"/>
    <mergeCell ref="C34:H36"/>
    <mergeCell ref="C13:F13"/>
    <mergeCell ref="C14:F14"/>
    <mergeCell ref="C15:F15"/>
    <mergeCell ref="C17:F17"/>
    <mergeCell ref="G17:I17"/>
    <mergeCell ref="D21:E21"/>
    <mergeCell ref="H4:I4"/>
    <mergeCell ref="A7:H7"/>
    <mergeCell ref="I7:I11"/>
    <mergeCell ref="A9:H10"/>
    <mergeCell ref="A12:I12"/>
    <mergeCell ref="A5:D5"/>
  </mergeCells>
  <conditionalFormatting sqref="L5:M6 M7 O7 K9:K10 M9 L10:M10 L12:M12 K13:M13 L14:M14 K21:K26 F24:G26 P24:Q24 E27 K27:K31 R38 D40">
    <cfRule type="cellIs" dxfId="0" priority="1" operator="lessThan" stopIfTrue="1">
      <formula>0</formula>
    </cfRule>
  </conditionalFormatting>
  <dataValidations count="1">
    <dataValidation type="list" allowBlank="1" showInputMessage="1" showErrorMessage="1" sqref="D21:E21">
      <formula1>"１．個人契約,２．法人契約,３．その他(任意団体等）"</formula1>
    </dataValidation>
  </dataValidations>
  <pageMargins left="0.708661" right="0.708661" top="0.748031" bottom="0.748031" header="0.314961" footer="0.314961"/>
  <pageSetup firstPageNumber="1" fitToHeight="1" fitToWidth="1" scale="98" useFirstPageNumber="0" orientation="portrait" pageOrder="downThenOver"/>
  <headerFooter>
    <oddFooter>&amp;C&amp;"ヒラギノ角ゴ ProN W3,Regular"&amp;12&amp;K000000&amp;P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