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showInkAnnotation="0" defaultThemeVersion="166925"/>
  <mc:AlternateContent xmlns:mc="http://schemas.openxmlformats.org/markup-compatibility/2006">
    <mc:Choice Requires="x15">
      <x15ac:absPath xmlns:x15ac="http://schemas.microsoft.com/office/spreadsheetml/2010/11/ac" url="C:\Users\スズキスタイル\Dropbox\2022年　ビジネス・防災対策委員会\1月新年会\0995-01S-032S\yosan\"/>
    </mc:Choice>
  </mc:AlternateContent>
  <xr:revisionPtr revIDLastSave="0" documentId="13_ncr:1_{2D1C9DC8-C078-4668-86DB-236D937C37E9}" xr6:coauthVersionLast="47" xr6:coauthVersionMax="47" xr10:uidLastSave="{00000000-0000-0000-0000-000000000000}"/>
  <bookViews>
    <workbookView xWindow="-108" yWindow="-108" windowWidth="23256" windowHeight="12576" tabRatio="874" firstSheet="1" activeTab="2" xr2:uid="{00000000-000D-0000-FFFF-FFFF00000000}"/>
  </bookViews>
  <sheets>
    <sheet name="財審様式" sheetId="1" r:id="rId1"/>
    <sheet name="委員会年間事業予算管理表(様式1)" sheetId="2" r:id="rId2"/>
    <sheet name="見積企業一覧表(様式5)" sheetId="5" r:id="rId3"/>
    <sheet name="差異発生理由書(様式12)" sheetId="6" r:id="rId4"/>
    <sheet name="収支予算書-修正・補正(様式14)" sheetId="7" r:id="rId5"/>
    <sheet name="収益・費用明細書-修正・補正(様式15)" sheetId="8" r:id="rId6"/>
  </sheets>
  <definedNames>
    <definedName name="_xlnm.Print_Area" localSheetId="3">'差異発生理由書(様式12)'!$A$1:$G$18</definedName>
    <definedName name="_xlnm.Print_Area" localSheetId="5">'収益・費用明細書-修正・補正(様式15)'!$A$1:$J$25</definedName>
    <definedName name="_xlnm.Print_Area" localSheetId="4">'収支予算書-修正・補正(様式14)'!$A$1:$F$34</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D16" i="7" l="1"/>
  <c r="C16" i="7"/>
  <c r="G24" i="8"/>
  <c r="I20" i="8"/>
  <c r="H24" i="8"/>
  <c r="I23" i="8"/>
  <c r="H22" i="8"/>
  <c r="G22" i="8"/>
  <c r="I21" i="8"/>
  <c r="I19" i="8"/>
  <c r="I18" i="8"/>
  <c r="H17" i="8"/>
  <c r="G17" i="8"/>
  <c r="I16" i="8"/>
  <c r="I15" i="8"/>
  <c r="H14" i="8"/>
  <c r="G14" i="8"/>
  <c r="I13" i="8"/>
  <c r="I12" i="8"/>
  <c r="H7" i="8"/>
  <c r="G7" i="8"/>
  <c r="I6" i="8"/>
  <c r="I7" i="8" s="1"/>
  <c r="D32" i="7"/>
  <c r="C32" i="7"/>
  <c r="C33" i="7" s="1"/>
  <c r="E31" i="7"/>
  <c r="E30" i="7"/>
  <c r="E29" i="7"/>
  <c r="E28" i="7"/>
  <c r="E27" i="7"/>
  <c r="E26" i="7"/>
  <c r="E25" i="7"/>
  <c r="E24" i="7"/>
  <c r="E23" i="7"/>
  <c r="E22" i="7"/>
  <c r="E21" i="7"/>
  <c r="E20" i="7"/>
  <c r="E19" i="7"/>
  <c r="E18" i="7"/>
  <c r="E15" i="7"/>
  <c r="E14" i="7"/>
  <c r="E13" i="7"/>
  <c r="E12" i="7"/>
  <c r="E11" i="7"/>
  <c r="E10" i="7"/>
  <c r="E9" i="7"/>
  <c r="E8" i="7"/>
  <c r="F15" i="6"/>
  <c r="F14" i="6"/>
  <c r="F13" i="6"/>
  <c r="F12" i="6"/>
  <c r="F11" i="6"/>
  <c r="F9" i="6"/>
  <c r="N18" i="2"/>
  <c r="N17" i="2"/>
  <c r="D10" i="5"/>
  <c r="D33" i="7" l="1"/>
  <c r="E16" i="7"/>
  <c r="G25" i="8"/>
  <c r="H25" i="8"/>
  <c r="I14" i="8"/>
  <c r="I22" i="8"/>
  <c r="I17" i="8"/>
  <c r="I24" i="8"/>
  <c r="I25" i="8" s="1"/>
  <c r="E32" i="7"/>
  <c r="E33" i="7" l="1"/>
</calcChain>
</file>

<file path=xl/sharedStrings.xml><?xml version="1.0" encoding="utf-8"?>
<sst xmlns="http://schemas.openxmlformats.org/spreadsheetml/2006/main" count="583" uniqueCount="274">
  <si>
    <t>２０１９年度　財審様式フォーム</t>
    <rPh sb="4" eb="6">
      <t>ネンド</t>
    </rPh>
    <rPh sb="7" eb="8">
      <t>ザイ</t>
    </rPh>
    <rPh sb="8" eb="9">
      <t>シン</t>
    </rPh>
    <rPh sb="9" eb="10">
      <t>ヨウ</t>
    </rPh>
    <rPh sb="10" eb="11">
      <t>シキ</t>
    </rPh>
    <phoneticPr fontId="18"/>
  </si>
  <si>
    <t>様式
番号</t>
    <rPh sb="0" eb="2">
      <t>ヨウシキ</t>
    </rPh>
    <rPh sb="3" eb="5">
      <t>バンゴウ</t>
    </rPh>
    <phoneticPr fontId="18"/>
  </si>
  <si>
    <t>様式名称</t>
    <rPh sb="0" eb="2">
      <t>ヨウシキ</t>
    </rPh>
    <rPh sb="2" eb="4">
      <t>メイショウ</t>
    </rPh>
    <phoneticPr fontId="18"/>
  </si>
  <si>
    <t>摘　　　　　要</t>
    <rPh sb="0" eb="1">
      <t>テキ</t>
    </rPh>
    <rPh sb="6" eb="7">
      <t>ヨウ</t>
    </rPh>
    <phoneticPr fontId="18"/>
  </si>
  <si>
    <t xml:space="preserve"> </t>
  </si>
  <si>
    <t>事業会計関連様式</t>
    <rPh sb="0" eb="2">
      <t>ジギョウ</t>
    </rPh>
    <rPh sb="2" eb="4">
      <t>カイケイ</t>
    </rPh>
    <rPh sb="4" eb="8">
      <t>カンレンヨウシキ</t>
    </rPh>
    <phoneticPr fontId="18"/>
  </si>
  <si>
    <t>協議</t>
    <rPh sb="0" eb="2">
      <t>キョウギ</t>
    </rPh>
    <phoneticPr fontId="18"/>
  </si>
  <si>
    <t>審議</t>
    <rPh sb="0" eb="2">
      <t>シンギ</t>
    </rPh>
    <phoneticPr fontId="18"/>
  </si>
  <si>
    <t>修正</t>
    <rPh sb="0" eb="2">
      <t>シュウセイ</t>
    </rPh>
    <phoneticPr fontId="18"/>
  </si>
  <si>
    <t>補正</t>
    <rPh sb="0" eb="2">
      <t>ホセイ</t>
    </rPh>
    <phoneticPr fontId="18"/>
  </si>
  <si>
    <t>決算</t>
    <rPh sb="0" eb="2">
      <t>ケッサン</t>
    </rPh>
    <phoneticPr fontId="18"/>
  </si>
  <si>
    <t>デ</t>
  </si>
  <si>
    <t>紙</t>
    <rPh sb="0" eb="1">
      <t>カミ</t>
    </rPh>
    <phoneticPr fontId="18"/>
  </si>
  <si>
    <t>※議案上程に必要な資料　デ＝デジタル資料　紙＝紙資料　</t>
    <rPh sb="1" eb="3">
      <t>ギアン</t>
    </rPh>
    <rPh sb="3" eb="5">
      <t>ジョウテイ</t>
    </rPh>
    <rPh sb="6" eb="8">
      <t>ヒツヨウ</t>
    </rPh>
    <rPh sb="9" eb="11">
      <t>シリョウ</t>
    </rPh>
    <rPh sb="18" eb="20">
      <t>シリョウ</t>
    </rPh>
    <rPh sb="21" eb="22">
      <t>カミ</t>
    </rPh>
    <rPh sb="23" eb="24">
      <t>カミ</t>
    </rPh>
    <rPh sb="24" eb="26">
      <t>シリョウ</t>
    </rPh>
    <phoneticPr fontId="18"/>
  </si>
  <si>
    <t>事業計画書・事業報告書（議案書）</t>
    <rPh sb="0" eb="2">
      <t>ジギョウ</t>
    </rPh>
    <rPh sb="2" eb="5">
      <t>ケイカクショ</t>
    </rPh>
    <rPh sb="6" eb="8">
      <t>ジギョウ</t>
    </rPh>
    <rPh sb="8" eb="11">
      <t>ホウコクショ</t>
    </rPh>
    <rPh sb="12" eb="14">
      <t>ギアン</t>
    </rPh>
    <rPh sb="14" eb="15">
      <t>ショ</t>
    </rPh>
    <phoneticPr fontId="18"/>
  </si>
  <si>
    <t>◎</t>
  </si>
  <si>
    <t>－</t>
  </si>
  <si>
    <t>※◎＝必要　○＝条件または事業により必要</t>
    <rPh sb="13" eb="15">
      <t>ジギョウ</t>
    </rPh>
    <phoneticPr fontId="18"/>
  </si>
  <si>
    <t>財審様式（本シート）</t>
    <rPh sb="0" eb="1">
      <t>ザイ</t>
    </rPh>
    <rPh sb="1" eb="2">
      <t>シン</t>
    </rPh>
    <rPh sb="2" eb="4">
      <t>ヨウシキ</t>
    </rPh>
    <rPh sb="5" eb="6">
      <t>ホン</t>
    </rPh>
    <phoneticPr fontId="18"/>
  </si>
  <si>
    <t>　●＝押印済み原本が必要</t>
    <rPh sb="3" eb="5">
      <t>オウイン</t>
    </rPh>
    <rPh sb="5" eb="6">
      <t>ズ</t>
    </rPh>
    <rPh sb="7" eb="9">
      <t>ゲンポン</t>
    </rPh>
    <rPh sb="10" eb="12">
      <t>ヒツヨウ</t>
    </rPh>
    <phoneticPr fontId="18"/>
  </si>
  <si>
    <t>様式1</t>
    <rPh sb="0" eb="2">
      <t>ヨウシキ</t>
    </rPh>
    <phoneticPr fontId="18"/>
  </si>
  <si>
    <t>委員会年間事業予算管理表</t>
  </si>
  <si>
    <t>様式2</t>
    <rPh sb="0" eb="2">
      <t>ヨウシキ</t>
    </rPh>
    <phoneticPr fontId="18"/>
  </si>
  <si>
    <t>事業費（仮）決定通知書</t>
  </si>
  <si>
    <t>事業費を使用しない場合は、作成不要</t>
    <rPh sb="0" eb="3">
      <t>ジギョウヒ</t>
    </rPh>
    <rPh sb="4" eb="6">
      <t>シヨウ</t>
    </rPh>
    <rPh sb="9" eb="11">
      <t>バアイ</t>
    </rPh>
    <rPh sb="13" eb="15">
      <t>サクセイ</t>
    </rPh>
    <rPh sb="15" eb="17">
      <t>フヨウ</t>
    </rPh>
    <phoneticPr fontId="18"/>
  </si>
  <si>
    <t>様式3</t>
    <rPh sb="0" eb="2">
      <t>ヨウシキ</t>
    </rPh>
    <phoneticPr fontId="18"/>
  </si>
  <si>
    <t>収支予算書</t>
  </si>
  <si>
    <t>様式4</t>
    <rPh sb="0" eb="2">
      <t>ヨウシキ</t>
    </rPh>
    <phoneticPr fontId="18"/>
  </si>
  <si>
    <t>収益費用明細書</t>
    <rPh sb="1" eb="2">
      <t>エキ</t>
    </rPh>
    <rPh sb="2" eb="4">
      <t>ヒヨウ</t>
    </rPh>
    <phoneticPr fontId="18"/>
  </si>
  <si>
    <t>様式5</t>
    <rPh sb="0" eb="2">
      <t>ヨウシキ</t>
    </rPh>
    <phoneticPr fontId="18"/>
  </si>
  <si>
    <t>見積（請求）企業一覧表</t>
    <rPh sb="3" eb="5">
      <t>セイキュウ</t>
    </rPh>
    <phoneticPr fontId="18"/>
  </si>
  <si>
    <t>計画時には見積書をリンクする
決算時には請求書及び振込受付書をリンクする</t>
    <rPh sb="0" eb="2">
      <t>ケイカク</t>
    </rPh>
    <rPh sb="2" eb="3">
      <t>ジ</t>
    </rPh>
    <rPh sb="5" eb="8">
      <t>ミツモリショ</t>
    </rPh>
    <rPh sb="15" eb="17">
      <t>ケッサン</t>
    </rPh>
    <rPh sb="17" eb="18">
      <t>ジ</t>
    </rPh>
    <rPh sb="20" eb="23">
      <t>セイキュウショ</t>
    </rPh>
    <rPh sb="23" eb="24">
      <t>オヨ</t>
    </rPh>
    <rPh sb="25" eb="27">
      <t>フリコミ</t>
    </rPh>
    <rPh sb="27" eb="29">
      <t>ウケツケ</t>
    </rPh>
    <rPh sb="29" eb="30">
      <t>ショ</t>
    </rPh>
    <phoneticPr fontId="18"/>
  </si>
  <si>
    <t>様式6</t>
    <rPh sb="0" eb="2">
      <t>ヨウシキ</t>
    </rPh>
    <phoneticPr fontId="18"/>
  </si>
  <si>
    <t>講師等出演依頼承諾書</t>
    <rPh sb="0" eb="2">
      <t>コウシ</t>
    </rPh>
    <rPh sb="2" eb="3">
      <t>トウ</t>
    </rPh>
    <rPh sb="3" eb="5">
      <t>シュツエン</t>
    </rPh>
    <rPh sb="5" eb="7">
      <t>イライ</t>
    </rPh>
    <rPh sb="7" eb="10">
      <t>ショウダクショ</t>
    </rPh>
    <phoneticPr fontId="18"/>
  </si>
  <si>
    <t>○</t>
  </si>
  <si>
    <t>●</t>
  </si>
  <si>
    <t>講演等を依頼する場合に必要、規則審査会議と共通書式
決算時には請求書と同じ扱いになります。</t>
    <rPh sb="0" eb="2">
      <t>コウエン</t>
    </rPh>
    <rPh sb="2" eb="3">
      <t>トウ</t>
    </rPh>
    <rPh sb="4" eb="6">
      <t>イライ</t>
    </rPh>
    <rPh sb="8" eb="10">
      <t>バアイ</t>
    </rPh>
    <rPh sb="11" eb="13">
      <t>ヒツヨウ</t>
    </rPh>
    <rPh sb="14" eb="16">
      <t>キソク</t>
    </rPh>
    <rPh sb="16" eb="18">
      <t>シンサ</t>
    </rPh>
    <rPh sb="18" eb="20">
      <t>カイギ</t>
    </rPh>
    <rPh sb="21" eb="23">
      <t>キョウツウ</t>
    </rPh>
    <rPh sb="23" eb="25">
      <t>ショシキ</t>
    </rPh>
    <rPh sb="26" eb="28">
      <t>ケッサン</t>
    </rPh>
    <rPh sb="28" eb="29">
      <t>ジ</t>
    </rPh>
    <rPh sb="31" eb="34">
      <t>セイキュウショ</t>
    </rPh>
    <rPh sb="35" eb="36">
      <t>オナ</t>
    </rPh>
    <rPh sb="37" eb="38">
      <t>アツカ</t>
    </rPh>
    <phoneticPr fontId="18"/>
  </si>
  <si>
    <t>様式7</t>
    <rPh sb="0" eb="2">
      <t>ヨウシキ</t>
    </rPh>
    <phoneticPr fontId="18"/>
  </si>
  <si>
    <t>報酬明細書</t>
    <rPh sb="4" eb="5">
      <t>ショ</t>
    </rPh>
    <phoneticPr fontId="18"/>
  </si>
  <si>
    <t>源泉徴収が発生する場合に必要</t>
    <rPh sb="9" eb="11">
      <t>バアイ</t>
    </rPh>
    <phoneticPr fontId="18"/>
  </si>
  <si>
    <t>様式8</t>
    <rPh sb="0" eb="2">
      <t>ヨウシキ</t>
    </rPh>
    <phoneticPr fontId="18"/>
  </si>
  <si>
    <t>協賛物品内訳書</t>
    <rPh sb="2" eb="4">
      <t>ブッピン</t>
    </rPh>
    <phoneticPr fontId="18"/>
  </si>
  <si>
    <t>協賛金等導入の場合に必要</t>
    <rPh sb="0" eb="3">
      <t>キョウサンキン</t>
    </rPh>
    <rPh sb="3" eb="4">
      <t>トウ</t>
    </rPh>
    <rPh sb="4" eb="6">
      <t>ドウニュウ</t>
    </rPh>
    <rPh sb="7" eb="9">
      <t>バアイ</t>
    </rPh>
    <rPh sb="10" eb="12">
      <t>ヒツヨウ</t>
    </rPh>
    <phoneticPr fontId="18"/>
  </si>
  <si>
    <t>様式9</t>
    <rPh sb="0" eb="2">
      <t>ヨウシキ</t>
    </rPh>
    <phoneticPr fontId="18"/>
  </si>
  <si>
    <t>協賛に関する覚書</t>
  </si>
  <si>
    <t>押印してある紙資料を提出</t>
    <rPh sb="0" eb="2">
      <t>オウイン</t>
    </rPh>
    <rPh sb="6" eb="9">
      <t>カミシリョウ</t>
    </rPh>
    <rPh sb="10" eb="12">
      <t>テイシュツ</t>
    </rPh>
    <phoneticPr fontId="18"/>
  </si>
  <si>
    <t>様式10</t>
    <rPh sb="0" eb="2">
      <t>ヨウシキ</t>
    </rPh>
    <phoneticPr fontId="18"/>
  </si>
  <si>
    <t>収支決算報告書</t>
  </si>
  <si>
    <t>様式11</t>
    <rPh sb="0" eb="2">
      <t>ヨウシキ</t>
    </rPh>
    <phoneticPr fontId="18"/>
  </si>
  <si>
    <t>収益費用明細書（決算用）</t>
    <rPh sb="1" eb="2">
      <t>エキ</t>
    </rPh>
    <rPh sb="2" eb="4">
      <t>ヒヨウ</t>
    </rPh>
    <rPh sb="8" eb="11">
      <t>ケッサンヨウ</t>
    </rPh>
    <phoneticPr fontId="18"/>
  </si>
  <si>
    <t>様式12</t>
    <rPh sb="0" eb="2">
      <t>ヨウシキ</t>
    </rPh>
    <phoneticPr fontId="18"/>
  </si>
  <si>
    <t>差異発生理由書</t>
  </si>
  <si>
    <t>事業終了後、事業支払申請関連様式と請求書を事務局に提出</t>
    <rPh sb="6" eb="10">
      <t>ジギョウシハラ</t>
    </rPh>
    <rPh sb="10" eb="14">
      <t>シンセイカンレン</t>
    </rPh>
    <rPh sb="14" eb="16">
      <t>ヨウシキ</t>
    </rPh>
    <phoneticPr fontId="18"/>
  </si>
  <si>
    <t>様式13</t>
    <rPh sb="0" eb="2">
      <t>ヨウシキ</t>
    </rPh>
    <phoneticPr fontId="18"/>
  </si>
  <si>
    <t>消費税等計算シート</t>
  </si>
  <si>
    <t>様式14</t>
    <rPh sb="0" eb="2">
      <t>ヨウシキ</t>
    </rPh>
    <phoneticPr fontId="18"/>
  </si>
  <si>
    <t>修正・補正収支予算書</t>
    <rPh sb="3" eb="5">
      <t>ホセイ</t>
    </rPh>
    <phoneticPr fontId="18"/>
  </si>
  <si>
    <t>修正予算ならびに補正予算をする場合に使用</t>
    <rPh sb="0" eb="4">
      <t>シュウセイヨサン</t>
    </rPh>
    <rPh sb="8" eb="12">
      <t>ホセイヨサン</t>
    </rPh>
    <rPh sb="15" eb="17">
      <t>バアイ</t>
    </rPh>
    <rPh sb="18" eb="20">
      <t>シヨウ</t>
    </rPh>
    <phoneticPr fontId="18"/>
  </si>
  <si>
    <t>様式15</t>
    <rPh sb="0" eb="2">
      <t>ヨウシキ</t>
    </rPh>
    <phoneticPr fontId="18"/>
  </si>
  <si>
    <t>収益費用明細書（修正・補正用）</t>
    <rPh sb="11" eb="13">
      <t>ホセイ</t>
    </rPh>
    <rPh sb="13" eb="14">
      <t>ヨウ</t>
    </rPh>
    <phoneticPr fontId="18"/>
  </si>
  <si>
    <t>特別領収書関連様式</t>
    <rPh sb="0" eb="5">
      <t>トクベツリョウシュウショ</t>
    </rPh>
    <rPh sb="5" eb="7">
      <t>カンレン</t>
    </rPh>
    <rPh sb="7" eb="9">
      <t>ヨウシキ</t>
    </rPh>
    <phoneticPr fontId="18"/>
  </si>
  <si>
    <t>様式21</t>
    <rPh sb="0" eb="2">
      <t>ヨウシキ</t>
    </rPh>
    <phoneticPr fontId="18"/>
  </si>
  <si>
    <t>特別領収書作成申請書</t>
  </si>
  <si>
    <t>特別領収書の申請に使用</t>
    <rPh sb="0" eb="2">
      <t>トクベツ</t>
    </rPh>
    <rPh sb="2" eb="5">
      <t>リョウシュウショ</t>
    </rPh>
    <rPh sb="6" eb="8">
      <t>シンセイ</t>
    </rPh>
    <rPh sb="9" eb="11">
      <t>シヨウ</t>
    </rPh>
    <phoneticPr fontId="18"/>
  </si>
  <si>
    <t>様式22</t>
    <rPh sb="0" eb="2">
      <t>ヨウシキ</t>
    </rPh>
    <phoneticPr fontId="18"/>
  </si>
  <si>
    <t>特別領収書作成報告書</t>
  </si>
  <si>
    <t>未使用領収書、事業報告書ならびに様式10、様式11、
納品書の写しを添付し提出</t>
    <rPh sb="0" eb="3">
      <t>ミシヨウ</t>
    </rPh>
    <rPh sb="3" eb="6">
      <t>リョウシュウショ</t>
    </rPh>
    <rPh sb="7" eb="12">
      <t>ジギョウホウコクショ</t>
    </rPh>
    <rPh sb="16" eb="18">
      <t>ヨウシキ</t>
    </rPh>
    <rPh sb="21" eb="23">
      <t>ヨウシキ</t>
    </rPh>
    <rPh sb="27" eb="30">
      <t>ノウヒンショ</t>
    </rPh>
    <rPh sb="31" eb="32">
      <t>ウツ</t>
    </rPh>
    <rPh sb="34" eb="36">
      <t>テンプ</t>
    </rPh>
    <rPh sb="37" eb="39">
      <t>テイシュツ</t>
    </rPh>
    <phoneticPr fontId="18"/>
  </si>
  <si>
    <t>様式23</t>
    <rPh sb="0" eb="2">
      <t>ヨウシキ</t>
    </rPh>
    <phoneticPr fontId="18"/>
  </si>
  <si>
    <t>領収書管理台帳</t>
    <rPh sb="0" eb="3">
      <t>リョウシュウショ</t>
    </rPh>
    <rPh sb="3" eb="5">
      <t>カンリ</t>
    </rPh>
    <rPh sb="5" eb="7">
      <t>ダイチョウ</t>
    </rPh>
    <phoneticPr fontId="18"/>
  </si>
  <si>
    <t>特別領収書を管理する時に使用
（領収書つづり及び特別領収書を管理する時に使用）</t>
    <rPh sb="0" eb="2">
      <t>トクベツ</t>
    </rPh>
    <rPh sb="2" eb="5">
      <t>リョウシュウショ</t>
    </rPh>
    <rPh sb="6" eb="8">
      <t>カンリ</t>
    </rPh>
    <rPh sb="10" eb="11">
      <t>トキ</t>
    </rPh>
    <rPh sb="12" eb="14">
      <t>シヨウ</t>
    </rPh>
    <rPh sb="16" eb="19">
      <t>リョウシュウショ</t>
    </rPh>
    <rPh sb="22" eb="23">
      <t>オヨ</t>
    </rPh>
    <rPh sb="24" eb="26">
      <t>トクベツ</t>
    </rPh>
    <rPh sb="26" eb="29">
      <t>リョウシュウショ</t>
    </rPh>
    <rPh sb="30" eb="32">
      <t>カンリ</t>
    </rPh>
    <rPh sb="34" eb="35">
      <t>トキ</t>
    </rPh>
    <rPh sb="36" eb="38">
      <t>シヨウ</t>
    </rPh>
    <phoneticPr fontId="18"/>
  </si>
  <si>
    <t>事業費支払申請関連様式</t>
    <rPh sb="0" eb="2">
      <t>ジギョウ</t>
    </rPh>
    <rPh sb="2" eb="3">
      <t>ヒ</t>
    </rPh>
    <rPh sb="3" eb="5">
      <t>シハラ</t>
    </rPh>
    <rPh sb="5" eb="7">
      <t>シンセイ</t>
    </rPh>
    <rPh sb="7" eb="11">
      <t>カンレンヨウシキ</t>
    </rPh>
    <phoneticPr fontId="18"/>
  </si>
  <si>
    <t>様式31</t>
    <rPh sb="0" eb="2">
      <t>ヨウシキ</t>
    </rPh>
    <phoneticPr fontId="18"/>
  </si>
  <si>
    <t>事業費支払申請書</t>
  </si>
  <si>
    <r>
      <t>事業終了後、様式</t>
    </r>
    <r>
      <rPr>
        <sz val="8"/>
        <color rgb="FFDD0806"/>
        <rFont val="ＭＳ Ｐゴシック"/>
        <family val="3"/>
        <charset val="128"/>
      </rPr>
      <t>12・34</t>
    </r>
    <r>
      <rPr>
        <sz val="8"/>
        <rFont val="ＭＳ Ｐゴシック"/>
        <family val="3"/>
        <charset val="128"/>
      </rPr>
      <t>と請求書を事務局に提出</t>
    </r>
    <rPh sb="0" eb="2">
      <t>ジギョウ</t>
    </rPh>
    <rPh sb="2" eb="5">
      <t>シュウリョウゴ</t>
    </rPh>
    <rPh sb="6" eb="8">
      <t>ヨウシキ</t>
    </rPh>
    <rPh sb="14" eb="17">
      <t>セイキュウショ</t>
    </rPh>
    <rPh sb="18" eb="21">
      <t>ジムキョク</t>
    </rPh>
    <rPh sb="22" eb="24">
      <t>テイシュツ</t>
    </rPh>
    <phoneticPr fontId="18"/>
  </si>
  <si>
    <t>様式32</t>
    <rPh sb="0" eb="2">
      <t>ヨウシキ</t>
    </rPh>
    <phoneticPr fontId="18"/>
  </si>
  <si>
    <t>事業費仮払申請書</t>
  </si>
  <si>
    <t>講師への支払いや海外事業でやむをえず現金が必要な時に使用</t>
    <rPh sb="0" eb="2">
      <t>コウシ</t>
    </rPh>
    <rPh sb="4" eb="6">
      <t>シハラ</t>
    </rPh>
    <rPh sb="8" eb="10">
      <t>カイガイ</t>
    </rPh>
    <rPh sb="10" eb="12">
      <t>ジギョウ</t>
    </rPh>
    <rPh sb="18" eb="20">
      <t>ゲンキン</t>
    </rPh>
    <rPh sb="21" eb="23">
      <t>ヒツヨウ</t>
    </rPh>
    <rPh sb="24" eb="25">
      <t>トキ</t>
    </rPh>
    <rPh sb="26" eb="28">
      <t>シヨウ</t>
    </rPh>
    <phoneticPr fontId="18"/>
  </si>
  <si>
    <t>様式33</t>
    <rPh sb="0" eb="2">
      <t>ヨウシキ</t>
    </rPh>
    <phoneticPr fontId="18"/>
  </si>
  <si>
    <t>事業費仮払精算書</t>
  </si>
  <si>
    <t>仮払いを受けたときの精算書</t>
    <rPh sb="0" eb="2">
      <t>カリバラ</t>
    </rPh>
    <rPh sb="4" eb="5">
      <t>ウ</t>
    </rPh>
    <rPh sb="10" eb="13">
      <t>セイサンショ</t>
    </rPh>
    <phoneticPr fontId="18"/>
  </si>
  <si>
    <t>様式34</t>
    <rPh sb="0" eb="2">
      <t>ヨウシキ</t>
    </rPh>
    <phoneticPr fontId="18"/>
  </si>
  <si>
    <t>事業費支払管理書</t>
    <rPh sb="0" eb="5">
      <t>ジギョウヒシハラ</t>
    </rPh>
    <rPh sb="5" eb="7">
      <t>カンリショ</t>
    </rPh>
    <rPh sb="7" eb="8">
      <t>ショ</t>
    </rPh>
    <phoneticPr fontId="18"/>
  </si>
  <si>
    <t>委員会会計関連様式</t>
    <rPh sb="0" eb="3">
      <t>イインカイ</t>
    </rPh>
    <rPh sb="3" eb="5">
      <t>カイケイ</t>
    </rPh>
    <rPh sb="5" eb="9">
      <t>カンレンヨウシキ</t>
    </rPh>
    <phoneticPr fontId="18"/>
  </si>
  <si>
    <t>様式41</t>
    <rPh sb="0" eb="2">
      <t>ヨウシキ</t>
    </rPh>
    <phoneticPr fontId="18"/>
  </si>
  <si>
    <t>預り金明細書</t>
    <rPh sb="0" eb="1">
      <t>アズカ</t>
    </rPh>
    <rPh sb="2" eb="3">
      <t>キン</t>
    </rPh>
    <rPh sb="3" eb="6">
      <t>メイサイショ</t>
    </rPh>
    <phoneticPr fontId="18"/>
  </si>
  <si>
    <t>預り金がある場合に使用</t>
    <rPh sb="0" eb="1">
      <t>アズカ</t>
    </rPh>
    <rPh sb="2" eb="3">
      <t>キン</t>
    </rPh>
    <rPh sb="6" eb="8">
      <t>バアイ</t>
    </rPh>
    <rPh sb="9" eb="11">
      <t>シヨウ</t>
    </rPh>
    <phoneticPr fontId="18"/>
  </si>
  <si>
    <t>様式42</t>
    <rPh sb="0" eb="2">
      <t>ヨウシキ</t>
    </rPh>
    <phoneticPr fontId="18"/>
  </si>
  <si>
    <t>総勘定元帳</t>
    <rPh sb="0" eb="5">
      <t>ソウカ</t>
    </rPh>
    <phoneticPr fontId="18"/>
  </si>
  <si>
    <t>現金・預金のすべての金銭の動きを記載</t>
    <rPh sb="0" eb="2">
      <t>ゲンキン</t>
    </rPh>
    <rPh sb="3" eb="5">
      <t>ヨキン</t>
    </rPh>
    <rPh sb="10" eb="12">
      <t>キンセン</t>
    </rPh>
    <rPh sb="13" eb="14">
      <t>ウゴ</t>
    </rPh>
    <rPh sb="16" eb="18">
      <t>キサイ</t>
    </rPh>
    <phoneticPr fontId="18"/>
  </si>
  <si>
    <t>地区・ブロック関連様式</t>
    <rPh sb="0" eb="2">
      <t>チク</t>
    </rPh>
    <rPh sb="7" eb="11">
      <t>カンレンヨウシキ</t>
    </rPh>
    <phoneticPr fontId="18"/>
  </si>
  <si>
    <t>様式51</t>
    <rPh sb="0" eb="2">
      <t>ヨウシキ</t>
    </rPh>
    <phoneticPr fontId="18"/>
  </si>
  <si>
    <t>銀行口座届出書
（協議会事務局管理用）</t>
    <rPh sb="0" eb="4">
      <t>ギンコウコウザ</t>
    </rPh>
    <rPh sb="4" eb="7">
      <t>トドケデショ</t>
    </rPh>
    <rPh sb="9" eb="12">
      <t>キョウギカイ</t>
    </rPh>
    <rPh sb="12" eb="15">
      <t>ジムキョク</t>
    </rPh>
    <rPh sb="15" eb="18">
      <t>カンリヨウ</t>
    </rPh>
    <phoneticPr fontId="18"/>
  </si>
  <si>
    <t>本会計、事業用委員会口座を作る場合に必要</t>
    <rPh sb="0" eb="1">
      <t>ホン</t>
    </rPh>
    <rPh sb="1" eb="3">
      <t>カイケイ</t>
    </rPh>
    <rPh sb="4" eb="7">
      <t>ジギョウヨウ</t>
    </rPh>
    <rPh sb="7" eb="10">
      <t>イインカイ</t>
    </rPh>
    <rPh sb="10" eb="12">
      <t>コウザ</t>
    </rPh>
    <rPh sb="13" eb="14">
      <t>ツク</t>
    </rPh>
    <rPh sb="15" eb="17">
      <t>バアイ</t>
    </rPh>
    <rPh sb="18" eb="20">
      <t>ヒツヨウ</t>
    </rPh>
    <phoneticPr fontId="18"/>
  </si>
  <si>
    <t>様式52</t>
    <rPh sb="0" eb="2">
      <t>ヨウシキ</t>
    </rPh>
    <phoneticPr fontId="18"/>
  </si>
  <si>
    <t>預金出納帳</t>
    <rPh sb="0" eb="2">
      <t>ヨキン</t>
    </rPh>
    <rPh sb="2" eb="5">
      <t>スイトウ</t>
    </rPh>
    <phoneticPr fontId="18"/>
  </si>
  <si>
    <t>銀行預金の動きを記載</t>
    <rPh sb="0" eb="4">
      <t>ギンコウヨキン</t>
    </rPh>
    <rPh sb="5" eb="6">
      <t>ウゴ</t>
    </rPh>
    <rPh sb="8" eb="10">
      <t>キサイ</t>
    </rPh>
    <phoneticPr fontId="18"/>
  </si>
  <si>
    <t>様式53</t>
    <rPh sb="0" eb="2">
      <t>ヨウシキ</t>
    </rPh>
    <phoneticPr fontId="18"/>
  </si>
  <si>
    <t>現金出納帳</t>
    <rPh sb="0" eb="5">
      <t>ゲンキンスイトウチョウ</t>
    </rPh>
    <phoneticPr fontId="18"/>
  </si>
  <si>
    <t>手元現金の動きを記載</t>
    <rPh sb="0" eb="2">
      <t>テモト</t>
    </rPh>
    <rPh sb="2" eb="4">
      <t>ゲンキン</t>
    </rPh>
    <rPh sb="5" eb="6">
      <t>ウゴ</t>
    </rPh>
    <rPh sb="8" eb="10">
      <t>キサイ</t>
    </rPh>
    <phoneticPr fontId="18"/>
  </si>
  <si>
    <t>様式54</t>
    <rPh sb="0" eb="2">
      <t>ヨウシキ</t>
    </rPh>
    <phoneticPr fontId="18"/>
  </si>
  <si>
    <t>源泉所得税納付報告書</t>
    <rPh sb="0" eb="2">
      <t>ゲンセン</t>
    </rPh>
    <rPh sb="2" eb="5">
      <t>ショトクゼイ</t>
    </rPh>
    <rPh sb="5" eb="7">
      <t>ノウフ</t>
    </rPh>
    <rPh sb="7" eb="9">
      <t>ホウコク</t>
    </rPh>
    <rPh sb="9" eb="10">
      <t>ショ</t>
    </rPh>
    <phoneticPr fontId="18"/>
  </si>
  <si>
    <t>源泉所得税納付後日本ＪＣへ報告する際に必要</t>
    <rPh sb="0" eb="2">
      <t>ゲンセン</t>
    </rPh>
    <rPh sb="2" eb="5">
      <t>ショトクゼイ</t>
    </rPh>
    <rPh sb="5" eb="7">
      <t>ノウフ</t>
    </rPh>
    <rPh sb="7" eb="8">
      <t>ゴ</t>
    </rPh>
    <rPh sb="8" eb="10">
      <t>ニホン</t>
    </rPh>
    <rPh sb="13" eb="15">
      <t>ホウコク</t>
    </rPh>
    <rPh sb="17" eb="18">
      <t>サイ</t>
    </rPh>
    <rPh sb="19" eb="21">
      <t>ヒツヨウ</t>
    </rPh>
    <phoneticPr fontId="18"/>
  </si>
  <si>
    <t>様式55</t>
    <rPh sb="0" eb="2">
      <t>ヨウシキ</t>
    </rPh>
    <phoneticPr fontId="18"/>
  </si>
  <si>
    <t>銀行口座管理台帳
（協議会管理用、日本JC提出用）</t>
    <rPh sb="0" eb="4">
      <t>ギンコウコウザ</t>
    </rPh>
    <rPh sb="4" eb="8">
      <t>カンリダイチョウ</t>
    </rPh>
    <rPh sb="10" eb="13">
      <t>キョウギカイ</t>
    </rPh>
    <rPh sb="13" eb="16">
      <t>カンリヨウ</t>
    </rPh>
    <rPh sb="17" eb="19">
      <t>ニホン</t>
    </rPh>
    <rPh sb="21" eb="23">
      <t>テイシュツ</t>
    </rPh>
    <rPh sb="23" eb="24">
      <t>ヨウ</t>
    </rPh>
    <phoneticPr fontId="18"/>
  </si>
  <si>
    <r>
      <t>協議会で作った全ての銀行口座を管理する為に、</t>
    </r>
    <r>
      <rPr>
        <b/>
        <sz val="8"/>
        <rFont val="ＭＳ Ｐゴシック"/>
        <family val="3"/>
        <charset val="128"/>
      </rPr>
      <t>協議会の財政担当者が記入・提出</t>
    </r>
    <rPh sb="0" eb="3">
      <t>キョウギカイ</t>
    </rPh>
    <rPh sb="4" eb="5">
      <t>ツク</t>
    </rPh>
    <rPh sb="7" eb="8">
      <t>スベ</t>
    </rPh>
    <rPh sb="10" eb="12">
      <t>ギンコウ</t>
    </rPh>
    <rPh sb="12" eb="14">
      <t>コウザ</t>
    </rPh>
    <rPh sb="15" eb="17">
      <t>カンリ</t>
    </rPh>
    <rPh sb="19" eb="20">
      <t>タメ</t>
    </rPh>
    <rPh sb="22" eb="25">
      <t>キョウギカイ</t>
    </rPh>
    <rPh sb="26" eb="28">
      <t>ザイセイ</t>
    </rPh>
    <rPh sb="28" eb="31">
      <t>タントウシャ</t>
    </rPh>
    <rPh sb="32" eb="34">
      <t>キニュウ</t>
    </rPh>
    <rPh sb="35" eb="37">
      <t>テイシュツ</t>
    </rPh>
    <phoneticPr fontId="18"/>
  </si>
  <si>
    <t>参考資料</t>
    <rPh sb="0" eb="4">
      <t>サンコウシリョウ</t>
    </rPh>
    <phoneticPr fontId="18"/>
  </si>
  <si>
    <t>日本JC専用封筒等価格表</t>
    <rPh sb="0" eb="2">
      <t>ニホン</t>
    </rPh>
    <rPh sb="4" eb="6">
      <t>センヨウ</t>
    </rPh>
    <rPh sb="6" eb="8">
      <t>フウトウ</t>
    </rPh>
    <rPh sb="8" eb="9">
      <t>トウ</t>
    </rPh>
    <rPh sb="9" eb="12">
      <t>カカクヒョウ</t>
    </rPh>
    <phoneticPr fontId="18"/>
  </si>
  <si>
    <t>日本JC専用封筒を使用する場合に様式5に添付</t>
    <rPh sb="0" eb="2">
      <t>ニホン</t>
    </rPh>
    <rPh sb="4" eb="8">
      <t>センヨウフウトウ</t>
    </rPh>
    <rPh sb="9" eb="11">
      <t>シヨウ</t>
    </rPh>
    <rPh sb="13" eb="15">
      <t>バアイ</t>
    </rPh>
    <rPh sb="16" eb="18">
      <t>ヨウシキ</t>
    </rPh>
    <rPh sb="20" eb="22">
      <t>テンプ</t>
    </rPh>
    <phoneticPr fontId="18"/>
  </si>
  <si>
    <t>外部から取得する資料</t>
    <rPh sb="0" eb="2">
      <t>ガイブ</t>
    </rPh>
    <rPh sb="4" eb="6">
      <t>シュトク</t>
    </rPh>
    <rPh sb="8" eb="10">
      <t>シリョウ</t>
    </rPh>
    <phoneticPr fontId="18"/>
  </si>
  <si>
    <t>見積書</t>
    <rPh sb="0" eb="2">
      <t>ミツモリ</t>
    </rPh>
    <rPh sb="2" eb="3">
      <t>ショ</t>
    </rPh>
    <phoneticPr fontId="18"/>
  </si>
  <si>
    <t>請求書</t>
    <rPh sb="0" eb="3">
      <t>セイキュウショ</t>
    </rPh>
    <phoneticPr fontId="18"/>
  </si>
  <si>
    <t>事務局に集約し、スキャンコピーを添付</t>
    <rPh sb="0" eb="3">
      <t>ジムキョク</t>
    </rPh>
    <rPh sb="4" eb="6">
      <t>シュウヤク</t>
    </rPh>
    <rPh sb="16" eb="18">
      <t>テンプ</t>
    </rPh>
    <phoneticPr fontId="18"/>
  </si>
  <si>
    <t>振込受付書</t>
    <rPh sb="0" eb="2">
      <t>フリコミ</t>
    </rPh>
    <rPh sb="2" eb="4">
      <t>ウケツケ</t>
    </rPh>
    <rPh sb="4" eb="5">
      <t>ショ</t>
    </rPh>
    <phoneticPr fontId="18"/>
  </si>
  <si>
    <t>支払完了後に事務局からスキャンコピーを受け取り添付</t>
    <rPh sb="0" eb="2">
      <t>シハライ</t>
    </rPh>
    <rPh sb="2" eb="4">
      <t>カンリョウ</t>
    </rPh>
    <rPh sb="4" eb="5">
      <t>ゴ</t>
    </rPh>
    <rPh sb="6" eb="9">
      <t>ジムキョク</t>
    </rPh>
    <rPh sb="19" eb="20">
      <t>ウ</t>
    </rPh>
    <rPh sb="21" eb="22">
      <t>ト</t>
    </rPh>
    <rPh sb="23" eb="25">
      <t>テンプ</t>
    </rPh>
    <phoneticPr fontId="18"/>
  </si>
  <si>
    <t>［　様式1　］</t>
    <rPh sb="2" eb="4">
      <t>ヨウシキ</t>
    </rPh>
    <phoneticPr fontId="18"/>
  </si>
  <si>
    <t>一般社団法人 佐賀青年会議所</t>
  </si>
  <si>
    <t>専務理事　  渡邉　雅夫</t>
    <rPh sb="0" eb="2">
      <t>センム</t>
    </rPh>
    <rPh sb="2" eb="4">
      <t>リジ</t>
    </rPh>
    <phoneticPr fontId="18"/>
  </si>
  <si>
    <t>殿</t>
    <rPh sb="0" eb="1">
      <t>ドノ</t>
    </rPh>
    <phoneticPr fontId="18"/>
  </si>
  <si>
    <t>ビジネス・防災対策委員会（仮）</t>
    <rPh sb="5" eb="7">
      <t>ボウサイ</t>
    </rPh>
    <rPh sb="7" eb="9">
      <t>タイサク</t>
    </rPh>
    <rPh sb="9" eb="12">
      <t>イインカイ</t>
    </rPh>
    <rPh sb="13" eb="14">
      <t>カリ</t>
    </rPh>
    <phoneticPr fontId="18"/>
  </si>
  <si>
    <t>委員長　飯笹　壽久</t>
    <rPh sb="0" eb="3">
      <t>イインチョウ</t>
    </rPh>
    <phoneticPr fontId="18"/>
  </si>
  <si>
    <t>印</t>
    <rPh sb="0" eb="1">
      <t>イン</t>
    </rPh>
    <phoneticPr fontId="18"/>
  </si>
  <si>
    <t>委員会年間事業予算管理表</t>
    <rPh sb="0" eb="3">
      <t>イインカイ</t>
    </rPh>
    <rPh sb="5" eb="7">
      <t>ジギョウ</t>
    </rPh>
    <phoneticPr fontId="18"/>
  </si>
  <si>
    <t>委員会年間総事業費</t>
    <rPh sb="0" eb="3">
      <t>イインカイ</t>
    </rPh>
    <rPh sb="3" eb="5">
      <t>ネンカン</t>
    </rPh>
    <rPh sb="5" eb="6">
      <t>ソウ</t>
    </rPh>
    <rPh sb="6" eb="9">
      <t>ジギョウヒ</t>
    </rPh>
    <phoneticPr fontId="18"/>
  </si>
  <si>
    <t>￥</t>
  </si>
  <si>
    <t>年間事業繰入金予定額</t>
    <rPh sb="0" eb="2">
      <t>ネンカン</t>
    </rPh>
    <rPh sb="2" eb="4">
      <t>ジギョウ</t>
    </rPh>
    <rPh sb="4" eb="6">
      <t>クリイレ</t>
    </rPh>
    <rPh sb="6" eb="7">
      <t>キン</t>
    </rPh>
    <rPh sb="7" eb="9">
      <t>ヨテイ</t>
    </rPh>
    <rPh sb="9" eb="10">
      <t>ガク</t>
    </rPh>
    <phoneticPr fontId="18"/>
  </si>
  <si>
    <t>※　年当初予算を記載し、基本的には変更しないこと。</t>
    <rPh sb="2" eb="3">
      <t>ネン</t>
    </rPh>
    <rPh sb="3" eb="5">
      <t>トウショ</t>
    </rPh>
    <rPh sb="5" eb="7">
      <t>ヨサン</t>
    </rPh>
    <rPh sb="8" eb="10">
      <t>キサイ</t>
    </rPh>
    <rPh sb="12" eb="15">
      <t>キホンテキ</t>
    </rPh>
    <rPh sb="17" eb="19">
      <t>ヘンコウ</t>
    </rPh>
    <phoneticPr fontId="18"/>
  </si>
  <si>
    <t>事業開始日</t>
    <rPh sb="0" eb="1">
      <t>コト</t>
    </rPh>
    <rPh sb="1" eb="2">
      <t>ギョウ</t>
    </rPh>
    <rPh sb="2" eb="4">
      <t>カイシ</t>
    </rPh>
    <rPh sb="4" eb="5">
      <t>ヒ</t>
    </rPh>
    <phoneticPr fontId="18"/>
  </si>
  <si>
    <t>事業終了日</t>
    <rPh sb="0" eb="1">
      <t>コト</t>
    </rPh>
    <rPh sb="1" eb="2">
      <t>ギョウ</t>
    </rPh>
    <rPh sb="2" eb="4">
      <t>シュウリョウ</t>
    </rPh>
    <rPh sb="4" eb="5">
      <t>ヒ</t>
    </rPh>
    <phoneticPr fontId="18"/>
  </si>
  <si>
    <t>事　　業　　名　　称</t>
    <rPh sb="0" eb="1">
      <t>コト</t>
    </rPh>
    <rPh sb="3" eb="4">
      <t>ギョウ</t>
    </rPh>
    <rPh sb="6" eb="7">
      <t>メイ</t>
    </rPh>
    <rPh sb="9" eb="10">
      <t>ショウ</t>
    </rPh>
    <phoneticPr fontId="18"/>
  </si>
  <si>
    <r>
      <t>事業繰入金予定額　　　　　　</t>
    </r>
    <r>
      <rPr>
        <sz val="12"/>
        <rFont val="ＭＳ Ｐゴシック"/>
        <family val="3"/>
        <charset val="128"/>
      </rPr>
      <t>（財審議長　記入欄）</t>
    </r>
    <rPh sb="0" eb="2">
      <t>ジギョウ</t>
    </rPh>
    <rPh sb="2" eb="4">
      <t>クリイレ</t>
    </rPh>
    <rPh sb="4" eb="5">
      <t>キン</t>
    </rPh>
    <rPh sb="5" eb="7">
      <t>ヨテイ</t>
    </rPh>
    <rPh sb="7" eb="8">
      <t>ガク</t>
    </rPh>
    <rPh sb="15" eb="16">
      <t>ザイ</t>
    </rPh>
    <rPh sb="16" eb="17">
      <t>シン</t>
    </rPh>
    <rPh sb="17" eb="19">
      <t>ギチョウ</t>
    </rPh>
    <rPh sb="20" eb="22">
      <t>キニュウ</t>
    </rPh>
    <rPh sb="22" eb="23">
      <t>ラン</t>
    </rPh>
    <phoneticPr fontId="18"/>
  </si>
  <si>
    <t>外部資金予定額　　　（登録料等）</t>
    <rPh sb="0" eb="2">
      <t>ガイブ</t>
    </rPh>
    <rPh sb="2" eb="4">
      <t>シキン</t>
    </rPh>
    <rPh sb="4" eb="6">
      <t>ヨテイ</t>
    </rPh>
    <rPh sb="6" eb="7">
      <t>ガク</t>
    </rPh>
    <rPh sb="11" eb="13">
      <t>トウロク</t>
    </rPh>
    <rPh sb="13" eb="15">
      <t>リョウナド</t>
    </rPh>
    <phoneticPr fontId="18"/>
  </si>
  <si>
    <r>
      <t xml:space="preserve">収益計
</t>
    </r>
    <r>
      <rPr>
        <sz val="9"/>
        <rFont val="ＭＳ Ｐゴシック"/>
        <family val="3"/>
        <charset val="128"/>
      </rPr>
      <t>（事業繰入金＋外部資金予定額）</t>
    </r>
    <rPh sb="0" eb="2">
      <t>シュウエキ</t>
    </rPh>
    <rPh sb="2" eb="3">
      <t>ケイ</t>
    </rPh>
    <rPh sb="5" eb="7">
      <t>ジギョウ</t>
    </rPh>
    <rPh sb="7" eb="9">
      <t>クリイレ</t>
    </rPh>
    <rPh sb="9" eb="10">
      <t>キン</t>
    </rPh>
    <rPh sb="11" eb="13">
      <t>ガイブ</t>
    </rPh>
    <rPh sb="13" eb="15">
      <t>シキン</t>
    </rPh>
    <rPh sb="15" eb="17">
      <t>ヨテイ</t>
    </rPh>
    <rPh sb="17" eb="18">
      <t>ガク</t>
    </rPh>
    <phoneticPr fontId="18"/>
  </si>
  <si>
    <t>月</t>
    <rPh sb="0" eb="1">
      <t>ガツ</t>
    </rPh>
    <phoneticPr fontId="18"/>
  </si>
  <si>
    <t>日</t>
    <rPh sb="0" eb="1">
      <t>ヒ</t>
    </rPh>
    <phoneticPr fontId="18"/>
  </si>
  <si>
    <t>２０２２年度新年会</t>
  </si>
  <si>
    <t>合　　計</t>
    <rPh sb="0" eb="1">
      <t>ゴウ</t>
    </rPh>
    <rPh sb="3" eb="4">
      <t>ケイ</t>
    </rPh>
    <phoneticPr fontId="18"/>
  </si>
  <si>
    <t>（費用の部）</t>
    <rPh sb="1" eb="3">
      <t>ヒヨウ</t>
    </rPh>
    <rPh sb="4" eb="5">
      <t>ブ</t>
    </rPh>
    <phoneticPr fontId="18"/>
  </si>
  <si>
    <t>会場設営費</t>
  </si>
  <si>
    <t>企画・演出費</t>
    <rPh sb="0" eb="2">
      <t>キカク</t>
    </rPh>
    <rPh sb="3" eb="5">
      <t>エンシュツ</t>
    </rPh>
    <rPh sb="5" eb="6">
      <t>ヒ</t>
    </rPh>
    <phoneticPr fontId="18"/>
  </si>
  <si>
    <t>通信費</t>
    <rPh sb="0" eb="3">
      <t>ツウシンヒ</t>
    </rPh>
    <phoneticPr fontId="18"/>
  </si>
  <si>
    <t>（　収　益　明　細　書　）</t>
    <rPh sb="2" eb="3">
      <t>オサム</t>
    </rPh>
    <rPh sb="4" eb="5">
      <t>エキ</t>
    </rPh>
    <rPh sb="6" eb="11">
      <t>メイサイショ</t>
    </rPh>
    <phoneticPr fontId="18"/>
  </si>
  <si>
    <t>（単位：円）</t>
    <rPh sb="1" eb="3">
      <t>タンイ</t>
    </rPh>
    <rPh sb="4" eb="5">
      <t>エン</t>
    </rPh>
    <phoneticPr fontId="18"/>
  </si>
  <si>
    <t>科　　　　　目</t>
    <rPh sb="0" eb="7">
      <t>カモク</t>
    </rPh>
    <phoneticPr fontId="18"/>
  </si>
  <si>
    <t>Ｎｏ</t>
  </si>
  <si>
    <t>(</t>
  </si>
  <si>
    <t>)</t>
  </si>
  <si>
    <t>（　費　用　明　細　書　）</t>
    <rPh sb="2" eb="3">
      <t>ヒ</t>
    </rPh>
    <rPh sb="4" eb="5">
      <t>ヨウ</t>
    </rPh>
    <rPh sb="6" eb="11">
      <t>メイサイショ</t>
    </rPh>
    <phoneticPr fontId="18"/>
  </si>
  <si>
    <t>控室</t>
    <rPh sb="0" eb="2">
      <t>ヒカエシツ</t>
    </rPh>
    <phoneticPr fontId="18"/>
  </si>
  <si>
    <t>演出費</t>
    <rPh sb="0" eb="2">
      <t>エンシュツ</t>
    </rPh>
    <rPh sb="2" eb="3">
      <t>ヒ</t>
    </rPh>
    <phoneticPr fontId="18"/>
  </si>
  <si>
    <t>〔様式5〕</t>
    <rPh sb="1" eb="3">
      <t>ヨウシキシキ</t>
    </rPh>
    <phoneticPr fontId="18"/>
  </si>
  <si>
    <t>（　事業名称　：２０２２年度新年会）</t>
  </si>
  <si>
    <t>採　　　用　　　企　　業</t>
  </si>
  <si>
    <t>相　見　積　企　業</t>
  </si>
  <si>
    <t>見積/請求№</t>
    <rPh sb="3" eb="5">
      <t>セイキュウ</t>
    </rPh>
    <phoneticPr fontId="18"/>
  </si>
  <si>
    <t>企　業　名</t>
  </si>
  <si>
    <t>支払内容（科目・細目）</t>
    <rPh sb="5" eb="7">
      <t>カモク</t>
    </rPh>
    <rPh sb="8" eb="10">
      <t>サイモク</t>
    </rPh>
    <phoneticPr fontId="18"/>
  </si>
  <si>
    <t>金  額</t>
  </si>
  <si>
    <t>有効期限</t>
  </si>
  <si>
    <t>見積№</t>
  </si>
  <si>
    <t>金額</t>
  </si>
  <si>
    <t>グランデはがくれ</t>
  </si>
  <si>
    <t>ティーンズミュージカルＳＡＧＡ</t>
  </si>
  <si>
    <t>合計金額</t>
    <rPh sb="2" eb="4">
      <t>キンガク</t>
    </rPh>
    <phoneticPr fontId="18"/>
  </si>
  <si>
    <t>※支払先が個人の場合は個人名を企業名欄に記載し、金額欄は源泉税込みの金額を記載すること。</t>
    <rPh sb="1" eb="3">
      <t>シハライ</t>
    </rPh>
    <rPh sb="3" eb="4">
      <t>サキ</t>
    </rPh>
    <rPh sb="5" eb="7">
      <t>コジン</t>
    </rPh>
    <rPh sb="8" eb="10">
      <t>バアイ</t>
    </rPh>
    <rPh sb="11" eb="14">
      <t>コジンメイ</t>
    </rPh>
    <rPh sb="15" eb="17">
      <t>キギョウ</t>
    </rPh>
    <rPh sb="17" eb="18">
      <t>メイ</t>
    </rPh>
    <rPh sb="18" eb="19">
      <t>ラン</t>
    </rPh>
    <rPh sb="20" eb="22">
      <t>キサイ</t>
    </rPh>
    <rPh sb="24" eb="26">
      <t>キンガク</t>
    </rPh>
    <rPh sb="26" eb="27">
      <t>ラン</t>
    </rPh>
    <rPh sb="28" eb="30">
      <t>ゲンセン</t>
    </rPh>
    <rPh sb="30" eb="31">
      <t>ゼイ</t>
    </rPh>
    <rPh sb="31" eb="32">
      <t>コ</t>
    </rPh>
    <rPh sb="34" eb="36">
      <t>キンガク</t>
    </rPh>
    <rPh sb="37" eb="39">
      <t>キサイ</t>
    </rPh>
    <phoneticPr fontId="18"/>
  </si>
  <si>
    <t>※見積書へ見積Ｎｏ．をまたは請求書へ請求Ｎｏ．を記載すること。</t>
    <rPh sb="1" eb="4">
      <t>ミツモリショ</t>
    </rPh>
    <rPh sb="5" eb="7">
      <t>ミツ</t>
    </rPh>
    <rPh sb="14" eb="17">
      <t>セイキュウショ</t>
    </rPh>
    <rPh sb="18" eb="20">
      <t>セイキュウ</t>
    </rPh>
    <rPh sb="24" eb="26">
      <t>キサイ</t>
    </rPh>
    <phoneticPr fontId="18"/>
  </si>
  <si>
    <t>※採用企業合計＋振込手数料＋予備費＝事業費合計になることを確認下さい。</t>
    <rPh sb="1" eb="3">
      <t>サイヨウ</t>
    </rPh>
    <rPh sb="3" eb="5">
      <t>キギョウ</t>
    </rPh>
    <rPh sb="5" eb="7">
      <t>ゴウケイ</t>
    </rPh>
    <rPh sb="8" eb="10">
      <t>フリコ</t>
    </rPh>
    <rPh sb="10" eb="13">
      <t>テスウリョウ</t>
    </rPh>
    <rPh sb="14" eb="17">
      <t>ヨビヒ</t>
    </rPh>
    <rPh sb="18" eb="20">
      <t>ジギョウ</t>
    </rPh>
    <rPh sb="20" eb="21">
      <t>ヒ</t>
    </rPh>
    <rPh sb="21" eb="23">
      <t>ゴウケイ</t>
    </rPh>
    <rPh sb="29" eb="31">
      <t>カクニン</t>
    </rPh>
    <rPh sb="31" eb="32">
      <t>クダ</t>
    </rPh>
    <phoneticPr fontId="18"/>
  </si>
  <si>
    <t>振込口座名義</t>
    <rPh sb="0" eb="6">
      <t>フリコミコウザメイギ</t>
    </rPh>
    <phoneticPr fontId="18"/>
  </si>
  <si>
    <t>支払銀行・支店名</t>
    <rPh sb="0" eb="2">
      <t>シハライ</t>
    </rPh>
    <rPh sb="2" eb="4">
      <t>ギンコウ</t>
    </rPh>
    <phoneticPr fontId="18"/>
  </si>
  <si>
    <t>口座番号</t>
    <rPh sb="0" eb="2">
      <t>コウザ</t>
    </rPh>
    <rPh sb="2" eb="4">
      <t>バンゴウ</t>
    </rPh>
    <phoneticPr fontId="18"/>
  </si>
  <si>
    <t>振込手数料</t>
    <rPh sb="0" eb="2">
      <t>フリコミ</t>
    </rPh>
    <rPh sb="2" eb="5">
      <t>テスウリョウ</t>
    </rPh>
    <phoneticPr fontId="18"/>
  </si>
  <si>
    <t>公立学校共済組合佐賀宿泊所グランデはがくれ</t>
    <rPh sb="0" eb="2">
      <t>コウリツ</t>
    </rPh>
    <rPh sb="2" eb="4">
      <t>ガッコウ</t>
    </rPh>
    <rPh sb="4" eb="6">
      <t>キョウサイ</t>
    </rPh>
    <rPh sb="6" eb="8">
      <t>クミアイ</t>
    </rPh>
    <rPh sb="8" eb="10">
      <t>サガ</t>
    </rPh>
    <rPh sb="10" eb="13">
      <t>シュクハクショ</t>
    </rPh>
    <phoneticPr fontId="18"/>
  </si>
  <si>
    <t>佐賀銀行本店</t>
    <rPh sb="0" eb="4">
      <t>サガギンコウ</t>
    </rPh>
    <rPh sb="4" eb="6">
      <t>ホンテン</t>
    </rPh>
    <phoneticPr fontId="18"/>
  </si>
  <si>
    <t>普通７９９３９７</t>
    <rPh sb="0" eb="2">
      <t>フツウ</t>
    </rPh>
    <phoneticPr fontId="18"/>
  </si>
  <si>
    <t>現金支払い</t>
  </si>
  <si>
    <t>現金支払い</t>
    <rPh sb="0" eb="4">
      <t>ゲンキンシハラ</t>
    </rPh>
    <phoneticPr fontId="18"/>
  </si>
  <si>
    <t>株式会社　スタジオ風のたね</t>
    <rPh sb="0" eb="4">
      <t>カブシキガイシャ</t>
    </rPh>
    <rPh sb="9" eb="10">
      <t>カゼ</t>
    </rPh>
    <phoneticPr fontId="18"/>
  </si>
  <si>
    <t>普通３０２８１３７</t>
    <rPh sb="0" eb="2">
      <t>フツウ</t>
    </rPh>
    <phoneticPr fontId="18"/>
  </si>
  <si>
    <t>合計金額</t>
    <rPh sb="0" eb="4">
      <t>ゴウケイキンガク</t>
    </rPh>
    <phoneticPr fontId="18"/>
  </si>
  <si>
    <t>お礼状一式（封筒含む）　５５枚</t>
    <rPh sb="3" eb="5">
      <t>イッシキ</t>
    </rPh>
    <rPh sb="6" eb="9">
      <t>フウトウフク</t>
    </rPh>
    <phoneticPr fontId="18"/>
  </si>
  <si>
    <t>ver.3</t>
    <phoneticPr fontId="18"/>
  </si>
  <si>
    <t>案内状一式（返信ハガキ・封筒含む）　５５枚</t>
    <rPh sb="0" eb="3">
      <t>アンナイジョウ</t>
    </rPh>
    <rPh sb="3" eb="5">
      <t>イッシキ</t>
    </rPh>
    <rPh sb="6" eb="8">
      <t>ヘンシン</t>
    </rPh>
    <rPh sb="12" eb="14">
      <t>フウトウ</t>
    </rPh>
    <rPh sb="14" eb="15">
      <t>フク</t>
    </rPh>
    <rPh sb="20" eb="21">
      <t>マイ</t>
    </rPh>
    <phoneticPr fontId="18"/>
  </si>
  <si>
    <t>案内状切手料　９４円×５１枚
返信ハガキ切手料　６３円×５１枚</t>
    <rPh sb="0" eb="3">
      <t>アンナイジョウ</t>
    </rPh>
    <rPh sb="3" eb="6">
      <t>キッテリョウ</t>
    </rPh>
    <rPh sb="9" eb="10">
      <t>エン</t>
    </rPh>
    <rPh sb="13" eb="14">
      <t>マイ</t>
    </rPh>
    <rPh sb="15" eb="17">
      <t>ヘンシン</t>
    </rPh>
    <rPh sb="20" eb="22">
      <t>キッテ</t>
    </rPh>
    <rPh sb="22" eb="23">
      <t>リョウ</t>
    </rPh>
    <rPh sb="26" eb="27">
      <t>エン</t>
    </rPh>
    <rPh sb="30" eb="31">
      <t>マイ</t>
    </rPh>
    <phoneticPr fontId="18"/>
  </si>
  <si>
    <t>お礼状切手料　５５名×６３円</t>
    <rPh sb="1" eb="3">
      <t>レイジョウ</t>
    </rPh>
    <rPh sb="3" eb="6">
      <t>キッテリョウ</t>
    </rPh>
    <rPh sb="9" eb="10">
      <t>メイ</t>
    </rPh>
    <rPh sb="13" eb="14">
      <t>エン</t>
    </rPh>
    <phoneticPr fontId="18"/>
  </si>
  <si>
    <t>ローソン</t>
    <phoneticPr fontId="18"/>
  </si>
  <si>
    <t>会場費・通信費等</t>
    <rPh sb="0" eb="2">
      <t>カイジョウ</t>
    </rPh>
    <rPh sb="2" eb="3">
      <t>ヒ</t>
    </rPh>
    <rPh sb="4" eb="7">
      <t>ツウシンヒ</t>
    </rPh>
    <rPh sb="7" eb="8">
      <t>トウ</t>
    </rPh>
    <phoneticPr fontId="18"/>
  </si>
  <si>
    <t>通信費</t>
    <rPh sb="0" eb="3">
      <t>ツウシンヒ</t>
    </rPh>
    <phoneticPr fontId="18"/>
  </si>
  <si>
    <t>［様式12］</t>
    <rPh sb="1" eb="3">
      <t>ヨウシキ</t>
    </rPh>
    <phoneticPr fontId="18"/>
  </si>
  <si>
    <t>差　異　発　生　理　由　書</t>
    <rPh sb="0" eb="1">
      <t>サ</t>
    </rPh>
    <rPh sb="2" eb="3">
      <t>イ</t>
    </rPh>
    <rPh sb="4" eb="5">
      <t>パツ</t>
    </rPh>
    <rPh sb="6" eb="7">
      <t>ショウ</t>
    </rPh>
    <rPh sb="8" eb="9">
      <t>リ</t>
    </rPh>
    <rPh sb="10" eb="11">
      <t>ヨシ</t>
    </rPh>
    <rPh sb="12" eb="13">
      <t>ショ</t>
    </rPh>
    <phoneticPr fontId="18"/>
  </si>
  <si>
    <t>科目</t>
    <rPh sb="0" eb="2">
      <t>カモク</t>
    </rPh>
    <phoneticPr fontId="18"/>
  </si>
  <si>
    <t>細目</t>
    <rPh sb="0" eb="2">
      <t>サイモク</t>
    </rPh>
    <phoneticPr fontId="18"/>
  </si>
  <si>
    <t>摘要</t>
    <rPh sb="0" eb="2">
      <t>テキヨウ</t>
    </rPh>
    <phoneticPr fontId="18"/>
  </si>
  <si>
    <t>予算額</t>
    <rPh sb="0" eb="2">
      <t>ヨサン</t>
    </rPh>
    <rPh sb="2" eb="3">
      <t>ガク</t>
    </rPh>
    <phoneticPr fontId="18"/>
  </si>
  <si>
    <t>決算額</t>
    <rPh sb="0" eb="2">
      <t>ケッサン</t>
    </rPh>
    <rPh sb="2" eb="3">
      <t>ガク</t>
    </rPh>
    <phoneticPr fontId="18"/>
  </si>
  <si>
    <t>差異</t>
    <rPh sb="0" eb="2">
      <t>サイ</t>
    </rPh>
    <phoneticPr fontId="18"/>
  </si>
  <si>
    <t>理由・内容</t>
    <rPh sb="0" eb="2">
      <t>リユウ</t>
    </rPh>
    <rPh sb="3" eb="5">
      <t>ナイヨウ</t>
    </rPh>
    <phoneticPr fontId="18"/>
  </si>
  <si>
    <t>（収益の部）</t>
    <rPh sb="1" eb="3">
      <t>シュウエキ</t>
    </rPh>
    <rPh sb="4" eb="5">
      <t>ブ</t>
    </rPh>
    <phoneticPr fontId="18"/>
  </si>
  <si>
    <t>＊</t>
  </si>
  <si>
    <t>差異の発生した科目・細目のみを項目に記入して下さい。</t>
    <rPh sb="0" eb="2">
      <t>サイ</t>
    </rPh>
    <rPh sb="3" eb="5">
      <t>ハッセイ</t>
    </rPh>
    <rPh sb="7" eb="9">
      <t>カモク</t>
    </rPh>
    <rPh sb="10" eb="12">
      <t>サイモク</t>
    </rPh>
    <rPh sb="15" eb="17">
      <t>コウモク</t>
    </rPh>
    <rPh sb="18" eb="20">
      <t>キニュウ</t>
    </rPh>
    <rPh sb="22" eb="23">
      <t>クダ</t>
    </rPh>
    <phoneticPr fontId="18"/>
  </si>
  <si>
    <t>理由・内容は出来るだけ詳しく記入下さい。</t>
    <rPh sb="0" eb="2">
      <t>リユウ</t>
    </rPh>
    <rPh sb="3" eb="5">
      <t>ナイヨウ</t>
    </rPh>
    <rPh sb="6" eb="8">
      <t>デキ</t>
    </rPh>
    <rPh sb="11" eb="12">
      <t>クワ</t>
    </rPh>
    <rPh sb="14" eb="16">
      <t>キニュウ</t>
    </rPh>
    <rPh sb="16" eb="17">
      <t>クダ</t>
    </rPh>
    <phoneticPr fontId="18"/>
  </si>
  <si>
    <t>[様式14]</t>
    <phoneticPr fontId="18"/>
  </si>
  <si>
    <t>（単位　：　円）</t>
  </si>
  <si>
    <t>項　　　　目</t>
  </si>
  <si>
    <t>承認済予算額</t>
    <rPh sb="0" eb="2">
      <t>ショウニン</t>
    </rPh>
    <rPh sb="2" eb="3">
      <t>ズ</t>
    </rPh>
    <phoneticPr fontId="18"/>
  </si>
  <si>
    <t>差　　　異</t>
    <rPh sb="0" eb="5">
      <t>サイ</t>
    </rPh>
    <phoneticPr fontId="18"/>
  </si>
  <si>
    <t>摘　　　要</t>
  </si>
  <si>
    <t>（収　益　の　部）</t>
    <rPh sb="3" eb="4">
      <t>エキ</t>
    </rPh>
    <phoneticPr fontId="18"/>
  </si>
  <si>
    <t>登 録 料 収 益</t>
    <rPh sb="8" eb="9">
      <t>エキ</t>
    </rPh>
    <phoneticPr fontId="18"/>
  </si>
  <si>
    <t>寄 付 金 収 益</t>
    <rPh sb="8" eb="9">
      <t>エキ</t>
    </rPh>
    <phoneticPr fontId="18"/>
  </si>
  <si>
    <t>補 助 金</t>
    <phoneticPr fontId="18"/>
  </si>
  <si>
    <t>助 成 金</t>
    <phoneticPr fontId="18"/>
  </si>
  <si>
    <t>広 告 料 収 益</t>
    <rPh sb="8" eb="9">
      <t>エキ</t>
    </rPh>
    <phoneticPr fontId="18"/>
  </si>
  <si>
    <t>販　売　収　益</t>
    <rPh sb="6" eb="7">
      <t>エキ</t>
    </rPh>
    <phoneticPr fontId="18"/>
  </si>
  <si>
    <t>事　業　繰　入　金</t>
    <rPh sb="4" eb="5">
      <t>クリ</t>
    </rPh>
    <rPh sb="6" eb="7">
      <t>ニュウ</t>
    </rPh>
    <rPh sb="8" eb="9">
      <t>キン</t>
    </rPh>
    <phoneticPr fontId="18"/>
  </si>
  <si>
    <t>雑　　収　　益</t>
    <rPh sb="6" eb="7">
      <t>エキ</t>
    </rPh>
    <phoneticPr fontId="18"/>
  </si>
  <si>
    <t>収益計</t>
    <rPh sb="1" eb="2">
      <t>エキ</t>
    </rPh>
    <phoneticPr fontId="18"/>
  </si>
  <si>
    <t>（費用の部）</t>
    <rPh sb="1" eb="3">
      <t>ヒヨウ</t>
    </rPh>
    <phoneticPr fontId="18"/>
  </si>
  <si>
    <t>本部団関係費</t>
  </si>
  <si>
    <t>講師関係費</t>
  </si>
  <si>
    <t>広報費</t>
  </si>
  <si>
    <t>資料作成費</t>
  </si>
  <si>
    <t>報告書作成費</t>
  </si>
  <si>
    <t>渉外費</t>
  </si>
  <si>
    <t>旅費交通費</t>
  </si>
  <si>
    <t>参加記念品費</t>
    <rPh sb="5" eb="6">
      <t>ヒ</t>
    </rPh>
    <phoneticPr fontId="18"/>
  </si>
  <si>
    <t>保険料</t>
  </si>
  <si>
    <t>通信費</t>
  </si>
  <si>
    <t>雑費</t>
  </si>
  <si>
    <t>予備費</t>
  </si>
  <si>
    <t>費用計</t>
    <rPh sb="0" eb="2">
      <t>ヒヨウ</t>
    </rPh>
    <phoneticPr fontId="18"/>
  </si>
  <si>
    <t>収支差額</t>
  </si>
  <si>
    <t>[様式15]</t>
    <phoneticPr fontId="18"/>
  </si>
  <si>
    <r>
      <t>（修正</t>
    </r>
    <r>
      <rPr>
        <sz val="11"/>
        <color indexed="8"/>
        <rFont val="ＭＳ Ｐゴシック"/>
        <family val="3"/>
        <charset val="128"/>
      </rPr>
      <t>・補正</t>
    </r>
    <r>
      <rPr>
        <sz val="11"/>
        <color indexed="8"/>
        <rFont val="ＭＳ Ｐゴシック"/>
        <family val="3"/>
        <charset val="128"/>
      </rPr>
      <t>予算用）</t>
    </r>
    <rPh sb="1" eb="3">
      <t>シュウセイ</t>
    </rPh>
    <rPh sb="4" eb="6">
      <t>ホセイ</t>
    </rPh>
    <rPh sb="6" eb="8">
      <t>ヨサン</t>
    </rPh>
    <rPh sb="8" eb="9">
      <t>ヨウ</t>
    </rPh>
    <phoneticPr fontId="18"/>
  </si>
  <si>
    <t>（単位：円）</t>
  </si>
  <si>
    <t>摘　　　　　　　　　要</t>
  </si>
  <si>
    <t>差　　　　異</t>
  </si>
  <si>
    <t>　　　　　　　　　　　　　　　　　　　　　　合　　　　　　　計</t>
  </si>
  <si>
    <t>細　　　目</t>
  </si>
  <si>
    <t>摘　　　　要</t>
  </si>
  <si>
    <t>差　　　異</t>
  </si>
  <si>
    <t>　小　　　　計</t>
  </si>
  <si>
    <t>　合　　　　計</t>
  </si>
  <si>
    <t>（事業名称：　　　　２０２２年度新年会　　　　　　　　　　　　　　　　　　　　　　　　　　　　）   第　　　回支払申請</t>
    <rPh sb="1" eb="3">
      <t>ジギョウ</t>
    </rPh>
    <rPh sb="3" eb="5">
      <t>メイショウ</t>
    </rPh>
    <rPh sb="14" eb="15">
      <t>ネン</t>
    </rPh>
    <rPh sb="15" eb="16">
      <t>ド</t>
    </rPh>
    <rPh sb="16" eb="19">
      <t>シンネンカイ</t>
    </rPh>
    <phoneticPr fontId="18"/>
  </si>
  <si>
    <t>会場設営費</t>
    <rPh sb="0" eb="5">
      <t>カイジョウセツエイヒ</t>
    </rPh>
    <phoneticPr fontId="18"/>
  </si>
  <si>
    <t>会場費</t>
    <rPh sb="0" eb="3">
      <t>カイジョウヒ</t>
    </rPh>
    <phoneticPr fontId="18"/>
  </si>
  <si>
    <t>新年会会場料</t>
    <rPh sb="0" eb="5">
      <t>シンネンカイカイジョウ</t>
    </rPh>
    <rPh sb="5" eb="6">
      <t>リョウ</t>
    </rPh>
    <phoneticPr fontId="18"/>
  </si>
  <si>
    <t>企画・演出費</t>
    <rPh sb="0" eb="2">
      <t>キカク</t>
    </rPh>
    <rPh sb="3" eb="6">
      <t>エンシュツヒ</t>
    </rPh>
    <phoneticPr fontId="18"/>
  </si>
  <si>
    <t>演出費</t>
    <rPh sb="0" eb="3">
      <t>エンシュツヒ</t>
    </rPh>
    <phoneticPr fontId="18"/>
  </si>
  <si>
    <t>横断幕、スクリーン</t>
    <rPh sb="0" eb="3">
      <t>オウダンマク</t>
    </rPh>
    <phoneticPr fontId="18"/>
  </si>
  <si>
    <t>お礼状一式（封筒含む）　５５枚</t>
  </si>
  <si>
    <t>タイムスケジュールの変更による結果、会場使用時間の短縮になったためです。</t>
    <rPh sb="10" eb="12">
      <t>ヘンコウ</t>
    </rPh>
    <rPh sb="15" eb="17">
      <t>ケッカ</t>
    </rPh>
    <rPh sb="18" eb="24">
      <t>カイジョウシヨウジカン</t>
    </rPh>
    <rPh sb="25" eb="27">
      <t>タンシュク</t>
    </rPh>
    <phoneticPr fontId="18"/>
  </si>
  <si>
    <t>事　業　計　画　補　正　収　支　予　算　書</t>
    <rPh sb="8" eb="9">
      <t>ホ</t>
    </rPh>
    <rPh sb="9" eb="10">
      <t>シュウホ</t>
    </rPh>
    <rPh sb="12" eb="13">
      <t>オサム</t>
    </rPh>
    <phoneticPr fontId="18"/>
  </si>
  <si>
    <t>補正予算額</t>
    <rPh sb="0" eb="2">
      <t>ホセイ</t>
    </rPh>
    <phoneticPr fontId="18"/>
  </si>
  <si>
    <t>事業名称：２０２２年度新年会</t>
    <rPh sb="0" eb="2">
      <t>ジギョウ</t>
    </rPh>
    <rPh sb="2" eb="4">
      <t>メイショウ</t>
    </rPh>
    <rPh sb="9" eb="14">
      <t>ネンドシンネンカイ</t>
    </rPh>
    <phoneticPr fontId="18"/>
  </si>
  <si>
    <t>委員会事業費より</t>
    <rPh sb="0" eb="6">
      <t>イインカイジギョウヒ</t>
    </rPh>
    <phoneticPr fontId="18"/>
  </si>
  <si>
    <t>会場費</t>
    <rPh sb="0" eb="3">
      <t>カイジョウヒ</t>
    </rPh>
    <phoneticPr fontId="18"/>
  </si>
  <si>
    <t>ミュージカル、横断幕等</t>
    <rPh sb="7" eb="11">
      <t>オウダンマクトウ</t>
    </rPh>
    <phoneticPr fontId="18"/>
  </si>
  <si>
    <t>お礼状切手</t>
    <rPh sb="1" eb="5">
      <t>レイジョウキッテ</t>
    </rPh>
    <phoneticPr fontId="18"/>
  </si>
  <si>
    <t>通信費</t>
    <rPh sb="0" eb="3">
      <t>ツウシンヒ</t>
    </rPh>
    <phoneticPr fontId="18"/>
  </si>
  <si>
    <t>ハイブリット開催に変更となった結果、ご来賓の来場が無くなり当初のお礼状配送が不要となったためです。</t>
    <rPh sb="19" eb="21">
      <t>ライヒン</t>
    </rPh>
    <rPh sb="22" eb="24">
      <t>ライジョウ</t>
    </rPh>
    <rPh sb="25" eb="26">
      <t>ナ</t>
    </rPh>
    <rPh sb="29" eb="31">
      <t>トウショ</t>
    </rPh>
    <rPh sb="33" eb="35">
      <t>レイジョウ</t>
    </rPh>
    <rPh sb="35" eb="37">
      <t>ハイソウ</t>
    </rPh>
    <rPh sb="38" eb="40">
      <t>フヨウ</t>
    </rPh>
    <phoneticPr fontId="18"/>
  </si>
  <si>
    <t>案内状印刷等</t>
    <rPh sb="0" eb="6">
      <t>アンナイジョウインサツトウ</t>
    </rPh>
    <phoneticPr fontId="18"/>
  </si>
  <si>
    <t>事業繰越金</t>
    <rPh sb="0" eb="5">
      <t>ジギョウクリコシキン</t>
    </rPh>
    <phoneticPr fontId="18"/>
  </si>
  <si>
    <t>委員会事業費より</t>
    <rPh sb="0" eb="6">
      <t>イインカイジギョウヒ</t>
    </rPh>
    <phoneticPr fontId="18"/>
  </si>
  <si>
    <t>会場設営費</t>
    <rPh sb="0" eb="5">
      <t>カイジョウセツエイヒ</t>
    </rPh>
    <phoneticPr fontId="18"/>
  </si>
  <si>
    <t>会場費</t>
    <rPh sb="0" eb="3">
      <t>カイジョウヒ</t>
    </rPh>
    <phoneticPr fontId="18"/>
  </si>
  <si>
    <t>新年会会場</t>
    <rPh sb="0" eb="5">
      <t>シンネンカイカイジョウ</t>
    </rPh>
    <phoneticPr fontId="18"/>
  </si>
  <si>
    <t>控室</t>
    <rPh sb="0" eb="2">
      <t>ヒカエシツ</t>
    </rPh>
    <phoneticPr fontId="18"/>
  </si>
  <si>
    <t>企画・演出費</t>
    <rPh sb="0" eb="2">
      <t>キカク</t>
    </rPh>
    <rPh sb="3" eb="6">
      <t>エンシュツヒ</t>
    </rPh>
    <phoneticPr fontId="18"/>
  </si>
  <si>
    <t>演出費</t>
    <rPh sb="0" eb="3">
      <t>エンシュツヒ</t>
    </rPh>
    <phoneticPr fontId="18"/>
  </si>
  <si>
    <t>横断幕、スクリーン</t>
    <rPh sb="0" eb="3">
      <t>オウダンマク</t>
    </rPh>
    <phoneticPr fontId="18"/>
  </si>
  <si>
    <t>ティーンズミュージカル佐賀</t>
    <rPh sb="11" eb="13">
      <t>サガ</t>
    </rPh>
    <phoneticPr fontId="18"/>
  </si>
  <si>
    <t>通信費</t>
    <rPh sb="0" eb="3">
      <t>ツウシンヒ</t>
    </rPh>
    <phoneticPr fontId="18"/>
  </si>
  <si>
    <t>予備費</t>
    <rPh sb="0" eb="3">
      <t>ヨビヒ</t>
    </rPh>
    <phoneticPr fontId="18"/>
  </si>
  <si>
    <t>タイムスケジュールの変更による結果、会場使用時間が短縮となり、特別割引が無くなったためです。</t>
    <rPh sb="31" eb="35">
      <t>トクベツワリビキ</t>
    </rPh>
    <rPh sb="36" eb="37">
      <t>ナ</t>
    </rPh>
    <phoneticPr fontId="18"/>
  </si>
  <si>
    <t>ハイブリット開催に変更となった結果、ティーンズミュージカル佐賀様に控室使用時間が短くなったため。</t>
    <rPh sb="6" eb="8">
      <t>カイサイ</t>
    </rPh>
    <rPh sb="9" eb="11">
      <t>ヘンコウ</t>
    </rPh>
    <rPh sb="15" eb="17">
      <t>ケッカ</t>
    </rPh>
    <rPh sb="29" eb="31">
      <t>サガ</t>
    </rPh>
    <rPh sb="31" eb="32">
      <t>サマ</t>
    </rPh>
    <rPh sb="33" eb="35">
      <t>ヒカエシツ</t>
    </rPh>
    <rPh sb="35" eb="39">
      <t>シヨウジカン</t>
    </rPh>
    <rPh sb="40" eb="41">
      <t>ミジカ</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</si>
</sst>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 "/>
    <numFmt numFmtId="177" formatCode="0_);[Red]\(0\)"/>
    <numFmt numFmtId="178" formatCode="0_ "/>
    <numFmt numFmtId="179" formatCode="#,##0;&quot;△ &quot;#,##0"/>
  </numFmts>
  <fonts count="44" x14ac:knownFonts="1">
    <font>
      <sz val="11"/>
      <name val="ＭＳ Ｐゴシック"/>
      <family val="3"/>
      <charset val="128"/>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ＭＳ Ｐゴシック"/>
      <family val="3"/>
      <charset val="128"/>
    </font>
    <font>
      <sz val="11"/>
      <name val="ＭＳ Ｐゴシック"/>
      <family val="3"/>
      <charset val="128"/>
    </font>
    <font>
      <u/>
      <sz val="8.25"/>
      <color rgb="FF0000D4"/>
      <name val="ＭＳ Ｐゴシック"/>
      <family val="3"/>
      <charset val="128"/>
    </font>
    <font>
      <u/>
      <sz val="11"/>
      <color rgb="FF800080"/>
      <name val="ＭＳ Ｐゴシック"/>
      <family val="3"/>
      <charset val="128"/>
    </font>
    <font>
      <sz val="18"/>
      <name val="ＭＳ Ｐゴシック"/>
      <family val="3"/>
      <charset val="128"/>
    </font>
    <font>
      <b/>
      <sz val="11"/>
      <name val="ＭＳ Ｐゴシック"/>
      <family val="3"/>
      <charset val="128"/>
    </font>
    <font>
      <sz val="9"/>
      <name val="ＭＳ Ｐゴシック"/>
      <family val="3"/>
      <charset val="128"/>
    </font>
    <font>
      <sz val="8"/>
      <name val="ＭＳ Ｐゴシック"/>
      <family val="3"/>
      <charset val="128"/>
    </font>
    <font>
      <sz val="8"/>
      <name val="ＭＳ ゴシック"/>
      <family val="3"/>
      <charset val="128"/>
    </font>
    <font>
      <sz val="8"/>
      <color rgb="FFDD0806"/>
      <name val="ＭＳ Ｐゴシック"/>
      <family val="3"/>
      <charset val="128"/>
    </font>
    <font>
      <sz val="7"/>
      <name val="ＭＳ Ｐゴシック"/>
      <family val="3"/>
      <charset val="128"/>
    </font>
    <font>
      <u/>
      <sz val="8.25"/>
      <color rgb="FF0033CC"/>
      <name val="ＭＳ Ｐゴシック"/>
      <family val="3"/>
      <charset val="128"/>
    </font>
    <font>
      <b/>
      <sz val="8"/>
      <name val="ＭＳ Ｐゴシック"/>
      <family val="3"/>
      <charset val="128"/>
    </font>
    <font>
      <sz val="12"/>
      <name val="ＭＳ Ｐゴシック"/>
      <family val="3"/>
      <charset val="128"/>
    </font>
    <font>
      <sz val="14"/>
      <name val="ＭＳ Ｐゴシック"/>
      <family val="3"/>
      <charset val="128"/>
    </font>
    <font>
      <b/>
      <sz val="16"/>
      <name val="ＭＳ Ｐゴシック"/>
      <family val="3"/>
      <charset val="128"/>
    </font>
    <font>
      <b/>
      <sz val="18"/>
      <name val="ＭＳ Ｐゴシック"/>
      <family val="3"/>
      <charset val="128"/>
    </font>
    <font>
      <sz val="11"/>
      <color rgb="FFDD0806"/>
      <name val="ＭＳ Ｐゴシック"/>
      <family val="3"/>
      <charset val="128"/>
    </font>
    <font>
      <b/>
      <sz val="11"/>
      <color rgb="FFFF0000"/>
      <name val="ＭＳ Ｐゴシック"/>
      <family val="3"/>
      <charset val="128"/>
    </font>
    <font>
      <b/>
      <u/>
      <sz val="12"/>
      <name val="ＭＳ Ｐゴシック"/>
      <family val="3"/>
      <charset val="128"/>
    </font>
    <font>
      <b/>
      <u/>
      <sz val="11"/>
      <name val="ＭＳ Ｐゴシック"/>
      <family val="3"/>
      <charset val="128"/>
    </font>
    <font>
      <b/>
      <sz val="14"/>
      <name val="ＭＳ Ｐゴシック"/>
      <family val="3"/>
      <charset val="128"/>
    </font>
    <font>
      <sz val="16"/>
      <color indexed="8"/>
      <name val="ＭＳ Ｐゴシック"/>
      <family val="3"/>
      <charset val="128"/>
    </font>
    <font>
      <sz val="11"/>
      <color rgb="FFFF0000"/>
      <name val="ＭＳ Ｐゴシック"/>
      <family val="3"/>
      <charset val="128"/>
    </font>
    <font>
      <sz val="11"/>
      <color indexed="8"/>
      <name val="ＭＳ Ｐゴシック"/>
      <family val="3"/>
      <charset val="128"/>
    </font>
    <font>
      <sz val="10"/>
      <color indexed="8"/>
      <name val="ＭＳ Ｐゴシック"/>
      <family val="3"/>
      <charset val="128"/>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s>
  <borders count="6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rgb="FF000000"/>
      </right>
      <top style="thin">
        <color indexed="64"/>
      </top>
      <bottom/>
      <diagonal/>
    </border>
    <border>
      <left style="thin">
        <color indexed="64"/>
      </left>
      <right/>
      <top/>
      <bottom/>
      <diagonal/>
    </border>
    <border>
      <left/>
      <right style="thin">
        <color rgb="FF000000"/>
      </right>
      <top/>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bottom style="thin">
        <color indexed="64"/>
      </bottom>
      <diagonal/>
    </border>
    <border>
      <left style="thin">
        <color rgb="FF000000"/>
      </left>
      <right/>
      <top style="thin">
        <color indexed="64"/>
      </top>
      <bottom style="thin">
        <color indexed="64"/>
      </bottom>
      <diagonal/>
    </border>
    <border>
      <left/>
      <right style="medium">
        <color rgb="FF000000"/>
      </right>
      <top/>
      <bottom/>
      <diagonal/>
    </border>
    <border>
      <left/>
      <right/>
      <top style="medium">
        <color indexed="64"/>
      </top>
      <bottom/>
      <diagonal/>
    </border>
    <border>
      <left/>
      <right style="medium">
        <color indexed="64"/>
      </right>
      <top style="medium">
        <color indexed="64"/>
      </top>
      <bottom/>
      <diagonal/>
    </border>
    <border>
      <left/>
      <right style="double">
        <color rgb="FF000000"/>
      </right>
      <top/>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right/>
      <top style="double">
        <color indexed="64"/>
      </top>
      <bottom style="thin">
        <color indexed="64"/>
      </bottom>
      <diagonal/>
    </border>
    <border>
      <left style="thin">
        <color indexed="64"/>
      </left>
      <right/>
      <top style="thin">
        <color indexed="64"/>
      </top>
      <bottom style="thin">
        <color indexed="64"/>
      </bottom>
      <diagonal/>
    </border>
    <border>
      <left/>
      <right style="double">
        <color rgb="FF000000"/>
      </right>
      <top style="thin">
        <color indexed="64"/>
      </top>
      <bottom style="thin">
        <color indexed="64"/>
      </bottom>
      <diagonal/>
    </border>
    <border>
      <left/>
      <right style="double">
        <color rgb="FF000000"/>
      </right>
      <top style="double">
        <color rgb="FF000000"/>
      </top>
      <bottom style="thin">
        <color indexed="64"/>
      </bottom>
      <diagonal/>
    </border>
    <border>
      <left/>
      <right style="double">
        <color rgb="FF000000"/>
      </right>
      <top/>
      <bottom style="thin">
        <color indexed="64"/>
      </bottom>
      <diagonal/>
    </border>
    <border diagonalUp="1">
      <left/>
      <right style="double">
        <color rgb="FF000000"/>
      </right>
      <top style="thin">
        <color indexed="64"/>
      </top>
      <bottom style="thin">
        <color indexed="64"/>
      </bottom>
      <diagonal style="thin">
        <color indexed="64"/>
      </diagonal>
    </border>
    <border>
      <left/>
      <right style="double">
        <color rgb="FF000000"/>
      </right>
      <top/>
      <bottom style="double">
        <color rgb="FF000000"/>
      </bottom>
      <diagonal/>
    </border>
    <border diagonalUp="1">
      <left style="thin">
        <color rgb="FF000000"/>
      </left>
      <right/>
      <top style="thin">
        <color indexed="64"/>
      </top>
      <bottom style="thin">
        <color indexed="64"/>
      </bottom>
      <diagonal style="thin">
        <color indexed="64"/>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double">
        <color rgb="FF000000"/>
      </right>
      <top style="medium">
        <color indexed="64"/>
      </top>
      <bottom style="thin">
        <color indexed="64"/>
      </bottom>
      <diagonal/>
    </border>
    <border>
      <left style="medium">
        <color indexed="64"/>
      </left>
      <right style="thin">
        <color indexed="64"/>
      </right>
      <top/>
      <bottom/>
      <diagonal/>
    </border>
    <border>
      <left/>
      <right style="double">
        <color indexed="64"/>
      </right>
      <top/>
      <bottom/>
      <diagonal/>
    </border>
    <border>
      <left style="thin">
        <color indexed="64"/>
      </left>
      <right style="thin">
        <color indexed="64"/>
      </right>
      <top/>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rgb="FF000000"/>
      </left>
      <right/>
      <top style="medium">
        <color indexed="64"/>
      </top>
      <bottom style="thin">
        <color indexed="64"/>
      </bottom>
      <diagonal/>
    </border>
    <border>
      <left/>
      <right style="medium">
        <color rgb="FF000000"/>
      </right>
      <top style="medium">
        <color indexed="64"/>
      </top>
      <bottom/>
      <diagonal/>
    </border>
    <border>
      <left/>
      <right style="medium">
        <color indexed="64"/>
      </right>
      <top style="medium">
        <color indexed="64"/>
      </top>
      <bottom style="thin">
        <color indexed="64"/>
      </bottom>
      <diagonal/>
    </border>
    <border>
      <left style="dotted">
        <color indexed="64"/>
      </left>
      <right style="thin">
        <color indexed="64"/>
      </right>
      <top/>
      <bottom/>
      <diagonal/>
    </border>
    <border>
      <left style="dotted">
        <color indexed="64"/>
      </left>
      <right style="thin">
        <color indexed="64"/>
      </right>
      <top/>
      <bottom style="thin">
        <color indexed="64"/>
      </bottom>
      <diagonal/>
    </border>
    <border>
      <left/>
      <right style="thin">
        <color indexed="8"/>
      </right>
      <top style="thin">
        <color indexed="64"/>
      </top>
      <bottom style="thin">
        <color indexed="64"/>
      </bottom>
      <diagonal/>
    </border>
    <border>
      <left style="thin">
        <color indexed="8"/>
      </left>
      <right/>
      <top style="thin">
        <color indexed="64"/>
      </top>
      <bottom style="thin">
        <color indexed="64"/>
      </bottom>
      <diagonal/>
    </border>
  </borders>
  <cellStyleXfs count="48">
    <xf numFmtId="0" fontId="0" fillId="0" borderId="0"/>
    <xf numFmtId="38" fontId="19"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0" borderId="0"/>
    <xf numFmtId="0" fontId="19" fillId="0" borderId="0"/>
    <xf numFmtId="38" fontId="19" fillId="0" borderId="0" applyFont="0" applyFill="0" applyBorder="0" applyAlignment="0" applyProtection="0"/>
  </cellStyleXfs>
  <cellXfs count="262">
    <xf numFmtId="0" fontId="19" fillId="0" borderId="0" xfId="0" applyFont="1" applyAlignment="1"/>
    <xf numFmtId="0" fontId="22" fillId="33" borderId="0" xfId="0" applyFont="1" applyFill="1" applyAlignment="1">
      <alignment horizontal="center" vertical="center"/>
    </xf>
    <xf numFmtId="0" fontId="0" fillId="0" borderId="0" xfId="0" applyFont="1" applyAlignment="1"/>
    <xf numFmtId="0" fontId="0" fillId="0" borderId="0" xfId="0" applyFont="1" applyAlignment="1">
      <alignment vertical="top"/>
    </xf>
    <xf numFmtId="0" fontId="0" fillId="33" borderId="0" xfId="0" applyFont="1" applyFill="1" applyAlignment="1">
      <alignment horizontal="left" vertical="top"/>
    </xf>
    <xf numFmtId="0" fontId="0" fillId="33" borderId="0" xfId="0" applyFont="1" applyFill="1" applyAlignment="1">
      <alignment vertical="top" wrapText="1"/>
    </xf>
    <xf numFmtId="0" fontId="23" fillId="33" borderId="0" xfId="0" applyFont="1" applyFill="1" applyAlignment="1">
      <alignment horizontal="left" vertical="center" wrapText="1"/>
    </xf>
    <xf numFmtId="0" fontId="23" fillId="33" borderId="0" xfId="0" applyFont="1" applyFill="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xf>
    <xf numFmtId="0" fontId="24" fillId="33" borderId="0" xfId="0" applyFont="1" applyFill="1" applyAlignment="1">
      <alignment horizontal="center" vertical="center" wrapText="1"/>
    </xf>
    <xf numFmtId="0" fontId="23" fillId="33" borderId="16" xfId="0" applyFont="1" applyFill="1" applyBorder="1" applyAlignment="1">
      <alignment horizontal="center" vertical="center" wrapText="1"/>
    </xf>
    <xf numFmtId="0" fontId="24" fillId="33" borderId="17" xfId="0" applyFont="1" applyFill="1" applyBorder="1" applyAlignment="1">
      <alignment horizontal="center" vertical="center" wrapText="1"/>
    </xf>
    <xf numFmtId="0" fontId="25" fillId="33" borderId="18" xfId="0" applyFont="1" applyFill="1" applyBorder="1" applyAlignment="1">
      <alignment horizontal="left" vertical="center" wrapText="1"/>
    </xf>
    <xf numFmtId="0" fontId="23" fillId="33" borderId="12" xfId="0" applyFont="1" applyFill="1" applyBorder="1" applyAlignment="1">
      <alignment horizontal="left" vertical="center" wrapText="1"/>
    </xf>
    <xf numFmtId="0" fontId="25" fillId="33" borderId="0" xfId="0" applyFont="1" applyFill="1" applyAlignment="1">
      <alignment horizontal="left" vertical="center" wrapText="1"/>
    </xf>
    <xf numFmtId="0" fontId="24" fillId="33" borderId="19" xfId="0" applyFont="1" applyFill="1" applyBorder="1" applyAlignment="1">
      <alignment horizontal="center" vertical="center" wrapText="1"/>
    </xf>
    <xf numFmtId="0" fontId="26" fillId="33" borderId="18" xfId="0" applyFont="1" applyFill="1" applyBorder="1" applyAlignment="1">
      <alignment horizontal="left" vertical="center" wrapText="1"/>
    </xf>
    <xf numFmtId="0" fontId="23" fillId="0" borderId="0" xfId="0" applyFont="1" applyAlignment="1">
      <alignment horizontal="center" vertical="top"/>
    </xf>
    <xf numFmtId="0" fontId="24" fillId="33" borderId="0" xfId="0" applyFont="1" applyFill="1" applyAlignment="1">
      <alignment horizontal="left" vertical="center" wrapText="1"/>
    </xf>
    <xf numFmtId="0" fontId="20" fillId="33" borderId="12" xfId="43" applyFill="1" applyBorder="1" applyAlignment="1">
      <alignment horizontal="left" vertical="center"/>
    </xf>
    <xf numFmtId="0" fontId="25" fillId="33" borderId="18" xfId="0" applyFont="1" applyFill="1" applyBorder="1" applyAlignment="1">
      <alignment vertical="center" wrapText="1"/>
    </xf>
    <xf numFmtId="0" fontId="20" fillId="33" borderId="20" xfId="43" applyFill="1" applyBorder="1" applyAlignment="1">
      <alignment horizontal="left" vertical="center"/>
    </xf>
    <xf numFmtId="0" fontId="24" fillId="33" borderId="21" xfId="0" applyFont="1" applyFill="1" applyBorder="1" applyAlignment="1">
      <alignment horizontal="left" vertical="center" wrapText="1"/>
    </xf>
    <xf numFmtId="0" fontId="25" fillId="33" borderId="17" xfId="0" applyFont="1" applyFill="1" applyBorder="1" applyAlignment="1">
      <alignment vertical="center" wrapText="1"/>
    </xf>
    <xf numFmtId="0" fontId="22" fillId="33" borderId="22" xfId="0" applyFont="1" applyFill="1" applyBorder="1" applyAlignment="1">
      <alignment horizontal="center" vertical="center"/>
    </xf>
    <xf numFmtId="0" fontId="22" fillId="33" borderId="16" xfId="0" applyFont="1" applyFill="1" applyBorder="1" applyAlignment="1">
      <alignment horizontal="center" vertical="center"/>
    </xf>
    <xf numFmtId="0" fontId="24" fillId="33" borderId="23" xfId="0" applyFont="1" applyFill="1" applyBorder="1" applyAlignment="1">
      <alignment horizontal="center" vertical="center" wrapText="1"/>
    </xf>
    <xf numFmtId="0" fontId="24" fillId="33" borderId="24" xfId="0" applyFont="1" applyFill="1" applyBorder="1" applyAlignment="1">
      <alignment horizontal="center" vertical="center" wrapText="1"/>
    </xf>
    <xf numFmtId="0" fontId="24" fillId="33" borderId="21" xfId="0" applyFont="1" applyFill="1" applyBorder="1" applyAlignment="1">
      <alignment horizontal="left" vertical="center"/>
    </xf>
    <xf numFmtId="0" fontId="20" fillId="33" borderId="0" xfId="43" applyFill="1" applyAlignment="1">
      <alignment horizontal="left" vertical="center"/>
    </xf>
    <xf numFmtId="0" fontId="24" fillId="33" borderId="0" xfId="0" applyFont="1" applyFill="1" applyAlignment="1">
      <alignment horizontal="left" vertical="center"/>
    </xf>
    <xf numFmtId="0" fontId="25" fillId="33" borderId="0" xfId="0" applyFont="1" applyFill="1" applyAlignment="1">
      <alignment vertical="center" wrapText="1"/>
    </xf>
    <xf numFmtId="0" fontId="28" fillId="33" borderId="18" xfId="0" applyFont="1" applyFill="1" applyBorder="1" applyAlignment="1">
      <alignment vertical="center" wrapText="1"/>
    </xf>
    <xf numFmtId="0" fontId="24" fillId="33" borderId="21" xfId="0" applyFont="1" applyFill="1" applyBorder="1" applyAlignment="1">
      <alignment horizontal="center" vertical="center" wrapText="1"/>
    </xf>
    <xf numFmtId="0" fontId="25" fillId="33" borderId="17" xfId="0" applyFont="1" applyFill="1" applyBorder="1" applyAlignment="1">
      <alignment horizontal="center" vertical="center" wrapText="1"/>
    </xf>
    <xf numFmtId="0" fontId="25" fillId="33" borderId="0" xfId="0" applyFont="1" applyFill="1" applyAlignment="1">
      <alignment horizontal="center" vertical="center" wrapText="1"/>
    </xf>
    <xf numFmtId="0" fontId="24" fillId="33" borderId="22" xfId="0" applyFont="1" applyFill="1" applyBorder="1" applyAlignment="1">
      <alignment horizontal="left" vertical="center"/>
    </xf>
    <xf numFmtId="0" fontId="25" fillId="33" borderId="16" xfId="0" applyFont="1" applyFill="1" applyBorder="1" applyAlignment="1">
      <alignment vertical="center" wrapText="1"/>
    </xf>
    <xf numFmtId="0" fontId="24" fillId="0" borderId="22" xfId="45" applyFont="1" applyFill="1" applyBorder="1" applyAlignment="1">
      <alignment horizontal="left" vertical="center"/>
    </xf>
    <xf numFmtId="0" fontId="25" fillId="0" borderId="16" xfId="45" applyFont="1" applyFill="1" applyBorder="1" applyAlignment="1">
      <alignment vertical="center" wrapText="1"/>
    </xf>
    <xf numFmtId="0" fontId="0" fillId="0" borderId="0" xfId="45" applyFont="1" applyFill="1"/>
    <xf numFmtId="0" fontId="20" fillId="0" borderId="12" xfId="43" applyBorder="1" applyAlignment="1">
      <alignment horizontal="left" vertical="center"/>
    </xf>
    <xf numFmtId="0" fontId="24" fillId="0" borderId="0" xfId="45" applyFont="1" applyFill="1" applyAlignment="1">
      <alignment horizontal="left" vertical="center" wrapText="1"/>
    </xf>
    <xf numFmtId="0" fontId="24" fillId="0" borderId="23" xfId="45" applyFont="1" applyFill="1" applyBorder="1" applyAlignment="1">
      <alignment horizontal="center" vertical="center" wrapText="1"/>
    </xf>
    <xf numFmtId="0" fontId="24" fillId="0" borderId="24" xfId="45" applyFont="1" applyFill="1" applyBorder="1" applyAlignment="1">
      <alignment horizontal="center" vertical="center" wrapText="1"/>
    </xf>
    <xf numFmtId="0" fontId="25" fillId="0" borderId="18" xfId="45" applyFont="1" applyFill="1" applyBorder="1" applyAlignment="1">
      <alignment vertical="center" wrapText="1"/>
    </xf>
    <xf numFmtId="0" fontId="24" fillId="0" borderId="19" xfId="45" applyFont="1" applyFill="1" applyBorder="1" applyAlignment="1">
      <alignment horizontal="center" vertical="center" wrapText="1"/>
    </xf>
    <xf numFmtId="0" fontId="24" fillId="0" borderId="17" xfId="45" applyFont="1" applyFill="1" applyBorder="1" applyAlignment="1">
      <alignment horizontal="center" vertical="center" wrapText="1"/>
    </xf>
    <xf numFmtId="0" fontId="29" fillId="0" borderId="12" xfId="43" applyFont="1" applyBorder="1" applyAlignment="1">
      <alignment horizontal="left" vertical="center"/>
    </xf>
    <xf numFmtId="0" fontId="29" fillId="0" borderId="20" xfId="43" applyFont="1" applyBorder="1" applyAlignment="1">
      <alignment horizontal="left" vertical="center"/>
    </xf>
    <xf numFmtId="0" fontId="25" fillId="0" borderId="21" xfId="45" applyFont="1" applyFill="1" applyBorder="1" applyAlignment="1">
      <alignment horizontal="left" vertical="center" wrapText="1"/>
    </xf>
    <xf numFmtId="0" fontId="24" fillId="33" borderId="22" xfId="0" applyFont="1" applyFill="1" applyBorder="1" applyAlignment="1">
      <alignment horizontal="center" vertical="center" wrapText="1"/>
    </xf>
    <xf numFmtId="0" fontId="0" fillId="0" borderId="16" xfId="0" applyFont="1" applyBorder="1" applyAlignment="1"/>
    <xf numFmtId="0" fontId="0" fillId="0" borderId="12" xfId="0" applyFont="1" applyBorder="1" applyAlignment="1"/>
    <xf numFmtId="0" fontId="0" fillId="0" borderId="23" xfId="0" applyFont="1" applyBorder="1" applyAlignment="1">
      <alignment horizontal="center"/>
    </xf>
    <xf numFmtId="0" fontId="0" fillId="0" borderId="24" xfId="0" applyFont="1" applyBorder="1" applyAlignment="1">
      <alignment horizontal="center"/>
    </xf>
    <xf numFmtId="0" fontId="0" fillId="0" borderId="18" xfId="0" applyFont="1" applyBorder="1" applyAlignment="1"/>
    <xf numFmtId="0" fontId="0" fillId="0" borderId="17" xfId="0" applyFont="1" applyBorder="1" applyAlignment="1">
      <alignment horizontal="center"/>
    </xf>
    <xf numFmtId="0" fontId="24" fillId="0" borderId="18" xfId="45" applyFont="1" applyFill="1" applyBorder="1" applyAlignment="1">
      <alignment horizontal="left" vertical="center" wrapText="1"/>
    </xf>
    <xf numFmtId="0" fontId="0" fillId="0" borderId="20" xfId="0" applyFont="1" applyBorder="1" applyAlignment="1"/>
    <xf numFmtId="0" fontId="0" fillId="0" borderId="21" xfId="0" applyFont="1" applyBorder="1" applyAlignment="1"/>
    <xf numFmtId="0" fontId="24" fillId="0" borderId="17" xfId="45" applyFont="1" applyFill="1" applyBorder="1" applyAlignment="1">
      <alignment vertical="center" wrapText="1"/>
    </xf>
    <xf numFmtId="0" fontId="0" fillId="0" borderId="0" xfId="0" applyFont="1" applyAlignment="1">
      <alignment horizontal="center"/>
    </xf>
    <xf numFmtId="0" fontId="19" fillId="0" borderId="0" xfId="0" applyFont="1" applyAlignment="1">
      <alignment vertical="center"/>
    </xf>
    <xf numFmtId="0" fontId="0" fillId="0" borderId="0" xfId="0" applyFont="1" applyAlignment="1">
      <alignment vertical="center"/>
    </xf>
    <xf numFmtId="0" fontId="0" fillId="0" borderId="0" xfId="0" applyFont="1" applyAlignment="1">
      <alignment horizontal="right" vertical="center"/>
    </xf>
    <xf numFmtId="31" fontId="0" fillId="0" borderId="0" xfId="0" applyNumberFormat="1" applyFont="1" applyAlignment="1">
      <alignment horizontal="right" vertical="center"/>
    </xf>
    <xf numFmtId="0" fontId="31" fillId="0" borderId="0" xfId="0" applyFont="1" applyAlignment="1">
      <alignment horizontal="left" vertical="center"/>
    </xf>
    <xf numFmtId="0" fontId="31" fillId="0" borderId="0" xfId="0" applyFont="1" applyAlignment="1">
      <alignment vertical="center"/>
    </xf>
    <xf numFmtId="0" fontId="32" fillId="0" borderId="0" xfId="0" applyFont="1" applyAlignment="1">
      <alignment horizontal="center" vertical="center"/>
    </xf>
    <xf numFmtId="0" fontId="31" fillId="0" borderId="0" xfId="0" applyFont="1" applyAlignment="1">
      <alignment horizontal="distributed" vertical="center"/>
    </xf>
    <xf numFmtId="0" fontId="33" fillId="0" borderId="28" xfId="0" applyFont="1" applyBorder="1" applyAlignment="1">
      <alignment horizontal="center" vertical="center"/>
    </xf>
    <xf numFmtId="176" fontId="34" fillId="0" borderId="29" xfId="0" applyNumberFormat="1" applyFont="1" applyBorder="1" applyAlignment="1">
      <alignment horizontal="left" vertical="center"/>
    </xf>
    <xf numFmtId="0" fontId="32" fillId="0" borderId="0" xfId="0" applyFont="1" applyAlignment="1">
      <alignment horizontal="right" vertical="center"/>
    </xf>
    <xf numFmtId="0" fontId="33" fillId="0" borderId="0" xfId="0" applyFont="1" applyAlignment="1">
      <alignment horizontal="right" vertical="center"/>
    </xf>
    <xf numFmtId="176" fontId="34" fillId="0" borderId="0" xfId="0" applyNumberFormat="1" applyFont="1" applyAlignment="1">
      <alignment horizontal="left" vertical="center"/>
    </xf>
    <xf numFmtId="0" fontId="33" fillId="0" borderId="31" xfId="0" applyFont="1" applyBorder="1" applyAlignment="1">
      <alignment horizontal="center" vertical="center"/>
    </xf>
    <xf numFmtId="176" fontId="34" fillId="0" borderId="32" xfId="0" applyNumberFormat="1" applyFont="1" applyBorder="1" applyAlignment="1">
      <alignment horizontal="left" vertical="center"/>
    </xf>
    <xf numFmtId="38" fontId="32" fillId="0" borderId="36" xfId="1" applyFont="1" applyBorder="1" applyAlignment="1">
      <alignment horizontal="center" vertical="center" wrapText="1"/>
    </xf>
    <xf numFmtId="0" fontId="32" fillId="0" borderId="15" xfId="0" applyFont="1" applyBorder="1" applyAlignment="1">
      <alignment horizontal="center" vertical="center" wrapText="1"/>
    </xf>
    <xf numFmtId="0" fontId="32" fillId="0" borderId="23" xfId="0" applyFont="1" applyBorder="1" applyAlignment="1">
      <alignment horizontal="center" vertical="center" wrapText="1"/>
    </xf>
    <xf numFmtId="177" fontId="32" fillId="0" borderId="20" xfId="0" applyNumberFormat="1" applyFont="1" applyBorder="1" applyAlignment="1">
      <alignment horizontal="right" vertical="center"/>
    </xf>
    <xf numFmtId="0" fontId="31" fillId="0" borderId="21" xfId="0" applyFont="1" applyBorder="1" applyAlignment="1">
      <alignment horizontal="center" vertical="center"/>
    </xf>
    <xf numFmtId="178" fontId="32" fillId="0" borderId="21" xfId="0" applyNumberFormat="1" applyFont="1" applyBorder="1" applyAlignment="1">
      <alignment horizontal="right" vertical="center"/>
    </xf>
    <xf numFmtId="38" fontId="31" fillId="0" borderId="17" xfId="1" applyFont="1" applyBorder="1" applyAlignment="1">
      <alignment horizontal="center" vertical="center"/>
    </xf>
    <xf numFmtId="177" fontId="32" fillId="0" borderId="21" xfId="0" applyNumberFormat="1" applyFont="1" applyBorder="1" applyAlignment="1">
      <alignment horizontal="right" vertical="center"/>
    </xf>
    <xf numFmtId="179" fontId="32" fillId="0" borderId="37" xfId="1" applyNumberFormat="1" applyFont="1" applyBorder="1" applyAlignment="1">
      <alignment vertical="center"/>
    </xf>
    <xf numFmtId="179" fontId="32" fillId="0" borderId="21" xfId="1" applyNumberFormat="1" applyFont="1" applyBorder="1" applyAlignment="1">
      <alignment vertical="center"/>
    </xf>
    <xf numFmtId="179" fontId="32" fillId="0" borderId="19" xfId="1" applyNumberFormat="1" applyFont="1" applyBorder="1" applyAlignment="1">
      <alignment vertical="center"/>
    </xf>
    <xf numFmtId="179" fontId="32" fillId="0" borderId="39" xfId="1" applyNumberFormat="1" applyFont="1" applyBorder="1" applyAlignment="1">
      <alignment vertical="center"/>
    </xf>
    <xf numFmtId="0" fontId="0" fillId="0" borderId="0" xfId="46" applyFont="1" applyFill="1"/>
    <xf numFmtId="0" fontId="0" fillId="0" borderId="24" xfId="46" applyFont="1" applyFill="1" applyBorder="1" applyAlignment="1">
      <alignment vertical="center"/>
    </xf>
    <xf numFmtId="0" fontId="0" fillId="0" borderId="17" xfId="46" applyFont="1" applyFill="1" applyBorder="1" applyAlignment="1">
      <alignment vertical="center"/>
    </xf>
    <xf numFmtId="0" fontId="0" fillId="0" borderId="0" xfId="46" applyFont="1" applyFill="1" applyAlignment="1">
      <alignment horizontal="center" vertical="center"/>
    </xf>
    <xf numFmtId="0" fontId="20" fillId="0" borderId="41" xfId="43" applyFill="1" applyBorder="1" applyAlignment="1">
      <alignment horizontal="center" vertical="center"/>
    </xf>
    <xf numFmtId="0" fontId="0" fillId="0" borderId="0" xfId="46" applyFont="1" applyFill="1" applyAlignment="1">
      <alignment horizontal="right"/>
    </xf>
    <xf numFmtId="0" fontId="32" fillId="0" borderId="0" xfId="46" applyFont="1" applyBorder="1" applyAlignment="1">
      <alignment horizontal="centerContinuous"/>
    </xf>
    <xf numFmtId="0" fontId="0" fillId="0" borderId="0" xfId="46" applyFont="1" applyBorder="1" applyAlignment="1">
      <alignment horizontal="centerContinuous"/>
    </xf>
    <xf numFmtId="0" fontId="25" fillId="0" borderId="45" xfId="46" applyFont="1" applyFill="1" applyBorder="1" applyAlignment="1">
      <alignment horizontal="center" vertical="center"/>
    </xf>
    <xf numFmtId="0" fontId="0" fillId="0" borderId="18" xfId="46" applyFont="1" applyFill="1" applyBorder="1" applyAlignment="1">
      <alignment horizontal="center" vertical="center"/>
    </xf>
    <xf numFmtId="0" fontId="0" fillId="0" borderId="46" xfId="46" applyFont="1" applyFill="1" applyBorder="1" applyAlignment="1">
      <alignment horizontal="center" vertical="center"/>
    </xf>
    <xf numFmtId="0" fontId="0" fillId="0" borderId="47" xfId="46" applyFont="1" applyFill="1" applyBorder="1" applyAlignment="1">
      <alignment horizontal="center" vertical="center"/>
    </xf>
    <xf numFmtId="0" fontId="0" fillId="0" borderId="48" xfId="46" applyFont="1" applyFill="1" applyBorder="1" applyAlignment="1">
      <alignment horizontal="center" vertical="center"/>
    </xf>
    <xf numFmtId="0" fontId="35" fillId="0" borderId="24" xfId="46" applyFont="1" applyFill="1" applyBorder="1" applyAlignment="1">
      <alignment horizontal="center"/>
    </xf>
    <xf numFmtId="0" fontId="0" fillId="0" borderId="24" xfId="46" applyFont="1" applyFill="1" applyBorder="1"/>
    <xf numFmtId="179" fontId="0" fillId="0" borderId="49" xfId="1" applyNumberFormat="1" applyFont="1" applyBorder="1" applyAlignment="1"/>
    <xf numFmtId="179" fontId="0" fillId="0" borderId="17" xfId="1" applyNumberFormat="1" applyFont="1" applyBorder="1" applyAlignment="1">
      <alignment vertical="center"/>
    </xf>
    <xf numFmtId="0" fontId="35" fillId="0" borderId="17" xfId="46" applyFont="1" applyFill="1" applyBorder="1" applyAlignment="1">
      <alignment horizontal="center"/>
    </xf>
    <xf numFmtId="0" fontId="0" fillId="0" borderId="17" xfId="46" applyFont="1" applyFill="1" applyBorder="1"/>
    <xf numFmtId="179" fontId="0" fillId="0" borderId="50" xfId="1" applyNumberFormat="1" applyFont="1" applyBorder="1" applyAlignment="1"/>
    <xf numFmtId="0" fontId="0" fillId="0" borderId="52" xfId="46" applyFont="1" applyFill="1" applyBorder="1" applyAlignment="1">
      <alignment vertical="center"/>
    </xf>
    <xf numFmtId="179" fontId="0" fillId="0" borderId="52" xfId="1" applyNumberFormat="1" applyFont="1" applyBorder="1" applyAlignment="1">
      <alignment vertical="center"/>
    </xf>
    <xf numFmtId="0" fontId="35" fillId="0" borderId="52" xfId="46" applyFont="1" applyFill="1" applyBorder="1" applyAlignment="1">
      <alignment horizontal="center"/>
    </xf>
    <xf numFmtId="0" fontId="0" fillId="0" borderId="52" xfId="46" applyFont="1" applyFill="1" applyBorder="1"/>
    <xf numFmtId="179" fontId="0" fillId="0" borderId="53" xfId="1" applyNumberFormat="1" applyFont="1" applyBorder="1" applyAlignment="1"/>
    <xf numFmtId="0" fontId="0" fillId="0" borderId="52" xfId="46" applyFont="1" applyFill="1" applyBorder="1" applyAlignment="1">
      <alignment horizontal="center"/>
    </xf>
    <xf numFmtId="179" fontId="0" fillId="0" borderId="53" xfId="1" applyNumberFormat="1" applyFont="1" applyBorder="1" applyAlignment="1">
      <alignment horizontal="right"/>
    </xf>
    <xf numFmtId="179" fontId="0" fillId="0" borderId="0" xfId="1" applyNumberFormat="1" applyFont="1" applyAlignment="1"/>
    <xf numFmtId="0" fontId="36" fillId="0" borderId="0" xfId="0" applyFont="1" applyAlignment="1"/>
    <xf numFmtId="0" fontId="23" fillId="0" borderId="0" xfId="46" applyFont="1" applyBorder="1"/>
    <xf numFmtId="0" fontId="36" fillId="0" borderId="0" xfId="46" applyFont="1" applyFill="1"/>
    <xf numFmtId="0" fontId="38" fillId="0" borderId="0" xfId="46" applyFont="1" applyFill="1" applyAlignment="1">
      <alignment horizontal="left"/>
    </xf>
    <xf numFmtId="0" fontId="0" fillId="0" borderId="0" xfId="46" applyFont="1" applyFill="1" applyAlignment="1">
      <alignment horizontal="left"/>
    </xf>
    <xf numFmtId="0" fontId="25" fillId="0" borderId="54" xfId="46" applyFont="1" applyFill="1" applyBorder="1" applyAlignment="1">
      <alignment horizontal="center" vertical="center"/>
    </xf>
    <xf numFmtId="0" fontId="0" fillId="0" borderId="55" xfId="46" applyFont="1" applyFill="1" applyBorder="1" applyAlignment="1">
      <alignment horizontal="center" vertical="center"/>
    </xf>
    <xf numFmtId="0" fontId="0" fillId="0" borderId="28" xfId="46" applyFont="1" applyFill="1" applyBorder="1" applyAlignment="1">
      <alignment horizontal="center" vertical="center"/>
    </xf>
    <xf numFmtId="0" fontId="0" fillId="0" borderId="56" xfId="46" applyFont="1" applyFill="1" applyBorder="1" applyAlignment="1">
      <alignment horizontal="center" vertical="center"/>
    </xf>
    <xf numFmtId="0" fontId="20" fillId="0" borderId="57" xfId="43" applyBorder="1" applyAlignment="1">
      <alignment horizontal="center" vertical="center"/>
    </xf>
    <xf numFmtId="0" fontId="0" fillId="0" borderId="58" xfId="0" applyFont="1" applyBorder="1" applyAlignment="1">
      <alignment horizontal="left" vertical="center" wrapText="1"/>
    </xf>
    <xf numFmtId="0" fontId="24" fillId="0" borderId="58" xfId="0" applyFont="1" applyBorder="1" applyAlignment="1">
      <alignment horizontal="left" vertical="top" wrapText="1"/>
    </xf>
    <xf numFmtId="0" fontId="0" fillId="0" borderId="43" xfId="0" applyFont="1" applyBorder="1" applyAlignment="1">
      <alignment horizontal="left" vertical="center"/>
    </xf>
    <xf numFmtId="0" fontId="0" fillId="0" borderId="59" xfId="0" applyFont="1" applyBorder="1" applyAlignment="1">
      <alignment vertical="center"/>
    </xf>
    <xf numFmtId="0" fontId="0" fillId="0" borderId="0" xfId="46" applyFont="1" applyFill="1" applyAlignment="1">
      <alignment horizontal="left" vertical="center" indent="1"/>
    </xf>
    <xf numFmtId="176" fontId="0" fillId="0" borderId="0" xfId="46" applyNumberFormat="1" applyFont="1" applyFill="1" applyAlignment="1">
      <alignment vertical="center"/>
    </xf>
    <xf numFmtId="0" fontId="0" fillId="0" borderId="52" xfId="0" applyFont="1" applyBorder="1" applyAlignment="1">
      <alignment horizontal="left" vertical="center" wrapText="1"/>
    </xf>
    <xf numFmtId="0" fontId="24" fillId="0" borderId="52" xfId="0" applyFont="1" applyBorder="1" applyAlignment="1">
      <alignment horizontal="left" vertical="top" wrapText="1"/>
    </xf>
    <xf numFmtId="0" fontId="0" fillId="0" borderId="52" xfId="0" applyFont="1" applyBorder="1" applyAlignment="1">
      <alignment horizontal="left" vertical="center"/>
    </xf>
    <xf numFmtId="0" fontId="0" fillId="0" borderId="53" xfId="0" applyFont="1" applyBorder="1" applyAlignment="1">
      <alignment vertical="center"/>
    </xf>
    <xf numFmtId="0" fontId="0" fillId="0" borderId="51" xfId="46" applyFont="1" applyFill="1" applyBorder="1" applyAlignment="1">
      <alignment horizontal="right"/>
    </xf>
    <xf numFmtId="179" fontId="0" fillId="0" borderId="53" xfId="46" applyNumberFormat="1" applyFont="1" applyFill="1" applyBorder="1"/>
    <xf numFmtId="0" fontId="20" fillId="0" borderId="51" xfId="43" applyFill="1" applyBorder="1" applyAlignment="1">
      <alignment horizontal="center" vertical="center"/>
    </xf>
    <xf numFmtId="31" fontId="0" fillId="0" borderId="52" xfId="46" applyNumberFormat="1" applyFont="1" applyFill="1" applyBorder="1" applyAlignment="1">
      <alignment horizontal="right"/>
    </xf>
    <xf numFmtId="0" fontId="0" fillId="0" borderId="17" xfId="46" applyFont="1" applyFill="1" applyBorder="1" applyAlignment="1">
      <alignment vertical="center" wrapText="1"/>
    </xf>
    <xf numFmtId="31" fontId="0" fillId="0" borderId="24" xfId="46" applyNumberFormat="1" applyFont="1" applyFill="1" applyBorder="1" applyAlignment="1">
      <alignment horizontal="right"/>
    </xf>
    <xf numFmtId="31" fontId="0" fillId="0" borderId="17" xfId="46" applyNumberFormat="1" applyFont="1" applyFill="1" applyBorder="1" applyAlignment="1">
      <alignment horizontal="right"/>
    </xf>
    <xf numFmtId="0" fontId="0" fillId="0" borderId="34" xfId="46" applyFont="1" applyBorder="1" applyAlignment="1">
      <alignment horizontal="center" vertical="center"/>
    </xf>
    <xf numFmtId="0" fontId="19" fillId="0" borderId="0" xfId="46" applyAlignment="1">
      <alignment vertical="center"/>
    </xf>
    <xf numFmtId="0" fontId="19" fillId="0" borderId="19" xfId="46" applyBorder="1" applyAlignment="1">
      <alignment horizontal="center" vertical="center"/>
    </xf>
    <xf numFmtId="0" fontId="19" fillId="0" borderId="21" xfId="46" applyBorder="1" applyAlignment="1">
      <alignment horizontal="center" vertical="center"/>
    </xf>
    <xf numFmtId="0" fontId="19" fillId="0" borderId="17" xfId="46" applyBorder="1" applyAlignment="1">
      <alignment horizontal="center" vertical="center"/>
    </xf>
    <xf numFmtId="0" fontId="19" fillId="0" borderId="21" xfId="46" applyBorder="1" applyAlignment="1">
      <alignment vertical="center"/>
    </xf>
    <xf numFmtId="0" fontId="19" fillId="0" borderId="17" xfId="46" applyBorder="1" applyAlignment="1">
      <alignment vertical="center"/>
    </xf>
    <xf numFmtId="0" fontId="19" fillId="0" borderId="12" xfId="46" applyBorder="1" applyAlignment="1">
      <alignment vertical="center"/>
    </xf>
    <xf numFmtId="0" fontId="19" fillId="0" borderId="63" xfId="46" applyBorder="1" applyAlignment="1">
      <alignment vertical="center"/>
    </xf>
    <xf numFmtId="0" fontId="19" fillId="0" borderId="18" xfId="46" applyBorder="1" applyAlignment="1">
      <alignment vertical="center"/>
    </xf>
    <xf numFmtId="179" fontId="19" fillId="0" borderId="18" xfId="46" applyNumberFormat="1" applyBorder="1" applyAlignment="1">
      <alignment vertical="center"/>
    </xf>
    <xf numFmtId="0" fontId="19" fillId="0" borderId="15" xfId="46" applyBorder="1" applyAlignment="1">
      <alignment horizontal="center" vertical="center"/>
    </xf>
    <xf numFmtId="179" fontId="19" fillId="0" borderId="15" xfId="46" applyNumberFormat="1" applyBorder="1" applyAlignment="1">
      <alignment vertical="center"/>
    </xf>
    <xf numFmtId="0" fontId="19" fillId="0" borderId="64" xfId="46" applyBorder="1" applyAlignment="1">
      <alignment vertical="center"/>
    </xf>
    <xf numFmtId="179" fontId="19" fillId="0" borderId="17" xfId="46" applyNumberFormat="1" applyBorder="1" applyAlignment="1">
      <alignment vertical="center"/>
    </xf>
    <xf numFmtId="0" fontId="19" fillId="0" borderId="0" xfId="46" applyAlignment="1">
      <alignment horizontal="right" vertical="center"/>
    </xf>
    <xf numFmtId="0" fontId="0" fillId="0" borderId="0" xfId="46" applyFont="1" applyAlignment="1">
      <alignment vertical="center"/>
    </xf>
    <xf numFmtId="0" fontId="0" fillId="0" borderId="0" xfId="46" applyFont="1" applyAlignment="1">
      <alignment horizontal="right" vertical="center"/>
    </xf>
    <xf numFmtId="0" fontId="40" fillId="0" borderId="0" xfId="46" applyFont="1" applyAlignment="1">
      <alignment horizontal="center" vertical="center"/>
    </xf>
    <xf numFmtId="0" fontId="0" fillId="0" borderId="10" xfId="46" applyFont="1" applyBorder="1" applyAlignment="1">
      <alignment vertical="center"/>
    </xf>
    <xf numFmtId="0" fontId="0" fillId="0" borderId="16" xfId="46" applyFont="1" applyBorder="1" applyAlignment="1">
      <alignment horizontal="center" vertical="center"/>
    </xf>
    <xf numFmtId="0" fontId="0" fillId="0" borderId="16" xfId="46" applyFont="1" applyBorder="1" applyAlignment="1">
      <alignment horizontal="center" vertical="center" shrinkToFit="1"/>
    </xf>
    <xf numFmtId="0" fontId="0" fillId="0" borderId="15" xfId="46" applyFont="1" applyBorder="1" applyAlignment="1">
      <alignment horizontal="distributed" vertical="center"/>
    </xf>
    <xf numFmtId="0" fontId="0" fillId="0" borderId="15" xfId="46" applyFont="1" applyBorder="1" applyAlignment="1">
      <alignment vertical="center"/>
    </xf>
    <xf numFmtId="0" fontId="0" fillId="0" borderId="24" xfId="46" applyFont="1" applyBorder="1" applyAlignment="1">
      <alignment vertical="center"/>
    </xf>
    <xf numFmtId="0" fontId="0" fillId="0" borderId="20" xfId="46" applyFont="1" applyBorder="1" applyAlignment="1">
      <alignment horizontal="center" vertical="center"/>
    </xf>
    <xf numFmtId="0" fontId="0" fillId="0" borderId="17" xfId="46" applyFont="1" applyBorder="1" applyAlignment="1">
      <alignment horizontal="distributed" vertical="center"/>
    </xf>
    <xf numFmtId="179" fontId="0" fillId="0" borderId="17" xfId="47" applyNumberFormat="1" applyFont="1" applyBorder="1" applyAlignment="1">
      <alignment vertical="center"/>
    </xf>
    <xf numFmtId="0" fontId="0" fillId="0" borderId="17" xfId="46" applyFont="1" applyBorder="1" applyAlignment="1">
      <alignment vertical="center"/>
    </xf>
    <xf numFmtId="0" fontId="0" fillId="0" borderId="12" xfId="46" applyFont="1" applyBorder="1" applyAlignment="1">
      <alignment horizontal="center" vertical="center"/>
    </xf>
    <xf numFmtId="0" fontId="0" fillId="0" borderId="18" xfId="46" applyFont="1" applyBorder="1" applyAlignment="1">
      <alignment horizontal="distributed" vertical="center"/>
    </xf>
    <xf numFmtId="179" fontId="0" fillId="0" borderId="18" xfId="47" applyNumberFormat="1" applyFont="1" applyBorder="1" applyAlignment="1">
      <alignment vertical="center"/>
    </xf>
    <xf numFmtId="0" fontId="0" fillId="0" borderId="18" xfId="46" applyFont="1" applyBorder="1" applyAlignment="1">
      <alignment vertical="center"/>
    </xf>
    <xf numFmtId="179" fontId="0" fillId="0" borderId="15" xfId="47" applyNumberFormat="1" applyFont="1" applyBorder="1" applyAlignment="1">
      <alignment vertical="center"/>
    </xf>
    <xf numFmtId="0" fontId="41" fillId="0" borderId="20" xfId="46" applyFont="1" applyBorder="1" applyAlignment="1">
      <alignment horizontal="center" vertical="center"/>
    </xf>
    <xf numFmtId="0" fontId="0" fillId="0" borderId="20" xfId="46" applyFont="1" applyBorder="1" applyAlignment="1">
      <alignment vertical="center"/>
    </xf>
    <xf numFmtId="0" fontId="0" fillId="0" borderId="0" xfId="46" applyFont="1" applyAlignment="1">
      <alignment horizontal="justify" vertical="center"/>
    </xf>
    <xf numFmtId="0" fontId="43" fillId="0" borderId="24" xfId="46" applyFont="1" applyBorder="1" applyAlignment="1">
      <alignment horizontal="center" vertical="center"/>
    </xf>
    <xf numFmtId="0" fontId="0" fillId="0" borderId="24" xfId="46" applyFont="1" applyBorder="1" applyAlignment="1">
      <alignment horizontal="center" vertical="center"/>
    </xf>
    <xf numFmtId="0" fontId="0" fillId="0" borderId="17" xfId="46" applyFont="1" applyBorder="1" applyAlignment="1">
      <alignment horizontal="center" vertical="center"/>
    </xf>
    <xf numFmtId="0" fontId="0" fillId="0" borderId="20" xfId="46" applyFont="1" applyBorder="1" applyAlignment="1">
      <alignment horizontal="right" vertical="center"/>
    </xf>
    <xf numFmtId="0" fontId="0" fillId="0" borderId="21" xfId="46" applyFont="1" applyBorder="1" applyAlignment="1">
      <alignment vertical="center"/>
    </xf>
    <xf numFmtId="179" fontId="0" fillId="0" borderId="17" xfId="46" applyNumberFormat="1" applyFont="1" applyBorder="1" applyAlignment="1">
      <alignment vertical="center"/>
    </xf>
    <xf numFmtId="0" fontId="0" fillId="0" borderId="12" xfId="46" applyFont="1" applyBorder="1" applyAlignment="1">
      <alignment horizontal="right" vertical="center"/>
    </xf>
    <xf numFmtId="0" fontId="0" fillId="0" borderId="0" xfId="46" applyFont="1" applyAlignment="1">
      <alignment horizontal="center" vertical="center"/>
    </xf>
    <xf numFmtId="0" fontId="0" fillId="0" borderId="12" xfId="46" applyFont="1" applyBorder="1" applyAlignment="1">
      <alignment vertical="center"/>
    </xf>
    <xf numFmtId="179" fontId="0" fillId="0" borderId="24" xfId="46" applyNumberFormat="1" applyFont="1" applyBorder="1" applyAlignment="1">
      <alignment vertical="center"/>
    </xf>
    <xf numFmtId="0" fontId="0" fillId="0" borderId="63" xfId="46" applyFont="1" applyBorder="1" applyAlignment="1">
      <alignment vertical="center"/>
    </xf>
    <xf numFmtId="0" fontId="0" fillId="0" borderId="18" xfId="46" applyFont="1" applyBorder="1" applyAlignment="1">
      <alignment vertical="center" wrapText="1"/>
    </xf>
    <xf numFmtId="0" fontId="0" fillId="0" borderId="17" xfId="46" applyFont="1" applyBorder="1" applyAlignment="1">
      <alignment vertical="center" shrinkToFit="1"/>
    </xf>
    <xf numFmtId="10" fontId="0" fillId="0" borderId="17" xfId="46" applyNumberFormat="1" applyFont="1" applyBorder="1" applyAlignment="1">
      <alignment vertical="center"/>
    </xf>
    <xf numFmtId="0" fontId="20" fillId="0" borderId="17" xfId="43" applyBorder="1" applyAlignment="1">
      <alignment vertical="center"/>
    </xf>
    <xf numFmtId="0" fontId="0" fillId="0" borderId="23" xfId="46" applyFont="1" applyFill="1" applyBorder="1" applyAlignment="1">
      <alignment horizontal="center" vertical="center"/>
    </xf>
    <xf numFmtId="0" fontId="0" fillId="0" borderId="17" xfId="46" applyFont="1" applyBorder="1" applyAlignment="1">
      <alignment vertical="center" wrapText="1"/>
    </xf>
    <xf numFmtId="0" fontId="25" fillId="0" borderId="21" xfId="45" applyFont="1" applyBorder="1" applyAlignment="1">
      <alignment vertical="center" wrapText="1"/>
    </xf>
    <xf numFmtId="0" fontId="25" fillId="0" borderId="25" xfId="45" applyFont="1" applyBorder="1" applyAlignment="1">
      <alignment vertical="center" wrapText="1"/>
    </xf>
    <xf numFmtId="0" fontId="23" fillId="33" borderId="10" xfId="0" applyFont="1" applyFill="1" applyBorder="1" applyAlignment="1">
      <alignment horizontal="left" vertical="center" wrapText="1"/>
    </xf>
    <xf numFmtId="0" fontId="23" fillId="33" borderId="22" xfId="0" applyFont="1" applyFill="1" applyBorder="1" applyAlignment="1">
      <alignment horizontal="left" vertical="center" wrapText="1"/>
    </xf>
    <xf numFmtId="0" fontId="22" fillId="33" borderId="0" xfId="0" applyFont="1" applyFill="1" applyAlignment="1">
      <alignment horizontal="center" vertical="center"/>
    </xf>
    <xf numFmtId="0" fontId="23" fillId="33" borderId="10" xfId="0" applyFont="1" applyFill="1" applyBorder="1" applyAlignment="1">
      <alignment horizontal="left" wrapText="1"/>
    </xf>
    <xf numFmtId="0" fontId="23" fillId="33" borderId="11" xfId="0" applyFont="1" applyFill="1" applyBorder="1" applyAlignment="1">
      <alignment horizontal="left" wrapText="1"/>
    </xf>
    <xf numFmtId="0" fontId="23" fillId="33" borderId="12" xfId="0" applyFont="1" applyFill="1" applyBorder="1" applyAlignment="1">
      <alignment horizontal="left" wrapText="1"/>
    </xf>
    <xf numFmtId="0" fontId="23" fillId="33" borderId="13" xfId="0" applyFont="1" applyFill="1" applyBorder="1" applyAlignment="1">
      <alignment horizontal="left" wrapText="1"/>
    </xf>
    <xf numFmtId="0" fontId="24" fillId="33" borderId="26" xfId="0" applyFont="1" applyFill="1" applyBorder="1" applyAlignment="1">
      <alignment horizontal="center" vertical="center" wrapText="1"/>
    </xf>
    <xf numFmtId="0" fontId="24" fillId="33" borderId="14" xfId="0" applyFont="1" applyFill="1" applyBorder="1" applyAlignment="1">
      <alignment horizontal="center" vertical="center" wrapText="1"/>
    </xf>
    <xf numFmtId="0" fontId="23" fillId="0" borderId="10" xfId="0" applyFont="1" applyBorder="1" applyAlignment="1"/>
    <xf numFmtId="0" fontId="23" fillId="0" borderId="22" xfId="0" applyFont="1" applyBorder="1" applyAlignment="1"/>
    <xf numFmtId="0" fontId="23" fillId="0" borderId="10" xfId="45" applyFont="1" applyBorder="1" applyAlignment="1">
      <alignment horizontal="left" vertical="center" wrapText="1"/>
    </xf>
    <xf numFmtId="0" fontId="23" fillId="0" borderId="22" xfId="45" applyFont="1" applyBorder="1" applyAlignment="1">
      <alignment horizontal="left" vertical="center" wrapText="1"/>
    </xf>
    <xf numFmtId="49" fontId="32" fillId="0" borderId="34" xfId="0" applyNumberFormat="1" applyFont="1" applyBorder="1" applyAlignment="1">
      <alignment horizontal="center" vertical="center"/>
    </xf>
    <xf numFmtId="49" fontId="32" fillId="0" borderId="15" xfId="0" applyNumberFormat="1" applyFont="1" applyBorder="1" applyAlignment="1">
      <alignment horizontal="center" vertical="center"/>
    </xf>
    <xf numFmtId="49" fontId="32" fillId="0" borderId="14" xfId="0" applyNumberFormat="1" applyFont="1" applyBorder="1" applyAlignment="1">
      <alignment horizontal="center" vertical="center"/>
    </xf>
    <xf numFmtId="49" fontId="32" fillId="0" borderId="26" xfId="0" applyNumberFormat="1" applyFont="1" applyBorder="1" applyAlignment="1">
      <alignment horizontal="center" vertical="center"/>
    </xf>
    <xf numFmtId="38" fontId="0" fillId="0" borderId="40" xfId="1" applyFont="1" applyBorder="1" applyAlignment="1">
      <alignment vertical="center"/>
    </xf>
    <xf numFmtId="38" fontId="0" fillId="0" borderId="38" xfId="1" applyFont="1" applyBorder="1" applyAlignment="1">
      <alignment vertical="center"/>
    </xf>
    <xf numFmtId="0" fontId="31" fillId="0" borderId="0" xfId="0" applyFont="1" applyAlignment="1">
      <alignment horizontal="left" vertical="center"/>
    </xf>
    <xf numFmtId="0" fontId="32" fillId="0" borderId="0" xfId="0" applyFont="1" applyAlignment="1">
      <alignment horizontal="center" vertical="center"/>
    </xf>
    <xf numFmtId="0" fontId="32" fillId="0" borderId="27" xfId="0" applyFont="1" applyBorder="1" applyAlignment="1">
      <alignment horizontal="center" vertical="center"/>
    </xf>
    <xf numFmtId="0" fontId="32" fillId="0" borderId="30" xfId="0" applyFont="1" applyBorder="1" applyAlignment="1">
      <alignment horizontal="center" vertical="center"/>
    </xf>
    <xf numFmtId="0" fontId="0" fillId="0" borderId="33" xfId="0" applyFont="1" applyBorder="1" applyAlignment="1">
      <alignment vertical="center"/>
    </xf>
    <xf numFmtId="49" fontId="32" fillId="0" borderId="26" xfId="0" applyNumberFormat="1" applyFont="1" applyBorder="1" applyAlignment="1">
      <alignment horizontal="center" vertical="center" wrapText="1"/>
    </xf>
    <xf numFmtId="49" fontId="32" fillId="0" borderId="15" xfId="0" applyNumberFormat="1" applyFont="1" applyBorder="1" applyAlignment="1">
      <alignment horizontal="center" vertical="center" wrapText="1"/>
    </xf>
    <xf numFmtId="49" fontId="32" fillId="0" borderId="14" xfId="0" applyNumberFormat="1" applyFont="1" applyBorder="1" applyAlignment="1">
      <alignment horizontal="center" vertical="center" wrapText="1"/>
    </xf>
    <xf numFmtId="38" fontId="32" fillId="0" borderId="26" xfId="1" applyFont="1" applyBorder="1" applyAlignment="1">
      <alignment horizontal="center" vertical="center" wrapText="1"/>
    </xf>
    <xf numFmtId="38" fontId="32" fillId="0" borderId="35" xfId="1" applyFont="1" applyBorder="1" applyAlignment="1">
      <alignment horizontal="center" vertical="center" wrapText="1"/>
    </xf>
    <xf numFmtId="38" fontId="32" fillId="0" borderId="34" xfId="1" applyFont="1" applyBorder="1" applyAlignment="1">
      <alignment vertical="center"/>
    </xf>
    <xf numFmtId="38" fontId="32" fillId="0" borderId="35" xfId="1" applyFont="1" applyBorder="1" applyAlignment="1">
      <alignment vertical="center"/>
    </xf>
    <xf numFmtId="0" fontId="0" fillId="0" borderId="42" xfId="46" applyFont="1" applyBorder="1" applyAlignment="1">
      <alignment horizontal="center"/>
    </xf>
    <xf numFmtId="0" fontId="0" fillId="0" borderId="43" xfId="46" applyFont="1" applyBorder="1" applyAlignment="1">
      <alignment horizontal="center"/>
    </xf>
    <xf numFmtId="0" fontId="0" fillId="0" borderId="44" xfId="46" applyFont="1" applyBorder="1" applyAlignment="1">
      <alignment horizontal="center"/>
    </xf>
    <xf numFmtId="0" fontId="0" fillId="0" borderId="60" xfId="46" applyFont="1" applyBorder="1" applyAlignment="1">
      <alignment horizontal="center"/>
    </xf>
    <xf numFmtId="0" fontId="0" fillId="0" borderId="62" xfId="46" applyFont="1" applyBorder="1" applyAlignment="1">
      <alignment horizontal="center"/>
    </xf>
    <xf numFmtId="0" fontId="0" fillId="0" borderId="28" xfId="46" applyFont="1" applyBorder="1"/>
    <xf numFmtId="0" fontId="0" fillId="0" borderId="61" xfId="46" applyFont="1" applyBorder="1"/>
    <xf numFmtId="0" fontId="0" fillId="0" borderId="0" xfId="46" applyFont="1" applyBorder="1"/>
    <xf numFmtId="0" fontId="37" fillId="0" borderId="0" xfId="46" applyFont="1" applyBorder="1" applyAlignment="1">
      <alignment horizontal="left"/>
    </xf>
    <xf numFmtId="0" fontId="19" fillId="0" borderId="34" xfId="46" applyBorder="1" applyAlignment="1">
      <alignment horizontal="center" vertical="center"/>
    </xf>
    <xf numFmtId="0" fontId="19" fillId="0" borderId="15" xfId="46" applyBorder="1" applyAlignment="1">
      <alignment horizontal="center" vertical="center"/>
    </xf>
    <xf numFmtId="0" fontId="19" fillId="0" borderId="0" xfId="46" applyAlignment="1">
      <alignment horizontal="right" vertical="center"/>
    </xf>
    <xf numFmtId="0" fontId="39" fillId="0" borderId="0" xfId="46" applyFont="1" applyAlignment="1">
      <alignment horizontal="center" vertical="center"/>
    </xf>
    <xf numFmtId="0" fontId="0" fillId="0" borderId="0" xfId="46" applyFont="1" applyAlignment="1">
      <alignment horizontal="center" vertical="center"/>
    </xf>
    <xf numFmtId="0" fontId="19" fillId="0" borderId="0" xfId="46" applyAlignment="1">
      <alignment horizontal="center" vertical="center"/>
    </xf>
    <xf numFmtId="0" fontId="19" fillId="0" borderId="21" xfId="46" applyBorder="1" applyAlignment="1">
      <alignment horizontal="right" vertical="center"/>
    </xf>
    <xf numFmtId="0" fontId="40" fillId="0" borderId="0" xfId="46" applyFont="1" applyAlignment="1">
      <alignment horizontal="center" vertical="center"/>
    </xf>
    <xf numFmtId="0" fontId="0" fillId="0" borderId="21" xfId="46" applyFont="1" applyBorder="1" applyAlignment="1">
      <alignment horizontal="left" vertical="center"/>
    </xf>
    <xf numFmtId="0" fontId="19" fillId="0" borderId="21" xfId="46" applyBorder="1" applyAlignment="1">
      <alignment horizontal="left" vertical="center"/>
    </xf>
    <xf numFmtId="0" fontId="0" fillId="0" borderId="34" xfId="46" applyFont="1" applyBorder="1" applyAlignment="1">
      <alignment horizontal="center" vertical="center"/>
    </xf>
    <xf numFmtId="0" fontId="0" fillId="0" borderId="15" xfId="46" applyFont="1" applyBorder="1" applyAlignment="1">
      <alignment horizontal="center" vertical="center"/>
    </xf>
    <xf numFmtId="0" fontId="0" fillId="0" borderId="65" xfId="46" applyFont="1" applyBorder="1" applyAlignment="1">
      <alignment horizontal="center" vertical="center"/>
    </xf>
    <xf numFmtId="0" fontId="0" fillId="0" borderId="66" xfId="46" applyFont="1" applyBorder="1" applyAlignment="1">
      <alignment horizontal="center" vertical="center"/>
    </xf>
    <xf numFmtId="0" fontId="0" fillId="0" borderId="0" xfId="46" applyFont="1" applyAlignment="1">
      <alignment horizontal="right" vertical="center"/>
    </xf>
    <xf numFmtId="0" fontId="0" fillId="0" borderId="21" xfId="46" applyFont="1" applyBorder="1" applyAlignment="1">
      <alignment horizontal="center" vertical="center"/>
    </xf>
    <xf numFmtId="0" fontId="42" fillId="0" borderId="21" xfId="46" applyFont="1" applyBorder="1" applyAlignment="1">
      <alignment horizontal="center" vertical="center"/>
    </xf>
    <xf numFmtId="0" fontId="0" fillId="0" borderId="21" xfId="46" applyFont="1" applyBorder="1" applyAlignment="1">
      <alignment horizontal="right" vertical="center"/>
    </xf>
    <xf numFmtId="0" fontId="0" fillId="0" borderId="34" xfId="46" applyFont="1" applyBorder="1" applyAlignment="1">
      <alignment vertical="center"/>
    </xf>
    <xf numFmtId="0" fontId="0" fillId="0" borderId="65" xfId="46" applyFont="1" applyBorder="1" applyAlignment="1">
      <alignment vertical="center"/>
    </xf>
  </cellXfs>
  <cellStyles count="48">
    <cellStyle name="20% - アクセント 1" xfId="20" builtinId="30" customBuiltin="1"/>
    <cellStyle name="20% - アクセント 2" xfId="24" builtinId="34" customBuiltin="1"/>
    <cellStyle name="20% - アクセント 3" xfId="28" builtinId="38" customBuiltin="1"/>
    <cellStyle name="20% - アクセント 4" xfId="32" builtinId="42" customBuiltin="1"/>
    <cellStyle name="20% - アクセント 5" xfId="36" builtinId="46" customBuiltin="1"/>
    <cellStyle name="20% - アクセント 6" xfId="40" builtinId="50" customBuiltin="1"/>
    <cellStyle name="40% - アクセント 1" xfId="21" builtinId="31" customBuiltin="1"/>
    <cellStyle name="40% - アクセント 2" xfId="25" builtinId="35" customBuiltin="1"/>
    <cellStyle name="40% - アクセント 3" xfId="29" builtinId="39" customBuiltin="1"/>
    <cellStyle name="40% - アクセント 4" xfId="33" builtinId="43" customBuiltin="1"/>
    <cellStyle name="40% - アクセント 5" xfId="37" builtinId="47" customBuiltin="1"/>
    <cellStyle name="40% - アクセント 6" xfId="41" builtinId="51" customBuiltin="1"/>
    <cellStyle name="60% - アクセント 1" xfId="22" builtinId="32" customBuiltin="1"/>
    <cellStyle name="60% - アクセント 2" xfId="26" builtinId="36" customBuiltin="1"/>
    <cellStyle name="60% - アクセント 3" xfId="30" builtinId="40" customBuiltin="1"/>
    <cellStyle name="60% - アクセント 4" xfId="34" builtinId="44" customBuiltin="1"/>
    <cellStyle name="60% - アクセント 5" xfId="38" builtinId="48" customBuiltin="1"/>
    <cellStyle name="60% - アクセント 6" xfId="42" builtinId="52" customBuiltin="1"/>
    <cellStyle name="アクセント 1" xfId="19" builtinId="29" customBuiltin="1"/>
    <cellStyle name="アクセント 2" xfId="23" builtinId="33" customBuiltin="1"/>
    <cellStyle name="アクセント 3" xfId="27" builtinId="37" customBuiltin="1"/>
    <cellStyle name="アクセント 4" xfId="31" builtinId="41" customBuiltin="1"/>
    <cellStyle name="アクセント 5" xfId="35" builtinId="45" customBuiltin="1"/>
    <cellStyle name="アクセント 6" xfId="39" builtinId="49" customBuiltin="1"/>
    <cellStyle name="タイトル" xfId="2" builtinId="15" customBuiltin="1"/>
    <cellStyle name="チェック セル" xfId="14" builtinId="23" customBuiltin="1"/>
    <cellStyle name="どちらでもない" xfId="9" builtinId="28" customBuiltin="1"/>
    <cellStyle name="ハイパーリンク" xfId="43" builtinId="8" customBuiltin="1"/>
    <cellStyle name="メモ" xfId="16" builtinId="10" customBuiltin="1"/>
    <cellStyle name="リンク セル" xfId="13" builtinId="24" customBuiltin="1"/>
    <cellStyle name="悪い" xfId="8" builtinId="27" customBuiltin="1"/>
    <cellStyle name="計算" xfId="12" builtinId="22" customBuiltin="1"/>
    <cellStyle name="警告文" xfId="15" builtinId="11" customBuiltin="1"/>
    <cellStyle name="桁区切り" xfId="1" builtinId="6" customBuiltin="1"/>
    <cellStyle name="桁区切り 2" xfId="47" xr:uid="{B23B8E34-5A09-46CE-8D07-9255093184C9}"/>
    <cellStyle name="見出し 1" xfId="3" builtinId="16" customBuiltin="1"/>
    <cellStyle name="見出し 2" xfId="4" builtinId="17" customBuiltin="1"/>
    <cellStyle name="見出し 3" xfId="5" builtinId="18" customBuiltin="1"/>
    <cellStyle name="見出し 4" xfId="6" builtinId="19" customBuiltin="1"/>
    <cellStyle name="集計" xfId="18" builtinId="25" customBuiltin="1"/>
    <cellStyle name="出力" xfId="11" builtinId="21" customBuiltin="1"/>
    <cellStyle name="説明文" xfId="17" builtinId="53" customBuiltin="1"/>
    <cellStyle name="入力" xfId="10" builtinId="20" customBuiltin="1"/>
    <cellStyle name="標準" xfId="0" builtinId="0"/>
    <cellStyle name="標準 2" xfId="45" xr:uid="{00000000-0005-0000-0000-00002B000000}"/>
    <cellStyle name="標準_様式ファイル(上程委員会向）" xfId="46" xr:uid="{00000000-0005-0000-0000-00002C000000}"/>
    <cellStyle name="表示済みのハイパーリンク" xfId="44" builtinId="9" customBuiltin="1"/>
    <cellStyle name="良い" xfId="7"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63500</xdr:colOff>
      <xdr:row>2</xdr:row>
      <xdr:rowOff>381000</xdr:rowOff>
    </xdr:from>
    <xdr:to>
      <xdr:col>19</xdr:col>
      <xdr:colOff>406400</xdr:colOff>
      <xdr:row>10</xdr:row>
      <xdr:rowOff>88900</xdr:rowOff>
    </xdr:to>
    <xdr:pic>
      <xdr:nvPicPr>
        <xdr:cNvPr id="1237" name="角丸四角形 2">
          <a:extLst>
            <a:ext uri="{FF2B5EF4-FFF2-40B4-BE49-F238E27FC236}">
              <a16:creationId xmlns:a16="http://schemas.microsoft.com/office/drawing/2014/main" id="{1F36415D-AB10-48EC-BF43-D3397DC8AB33}"/>
            </a:ext>
          </a:extLst>
        </xdr:cNvPr>
        <xdr:cNvPicPr>
          <a:picLocks noChangeArrowheads="1"/>
        </xdr:cNvPicPr>
      </xdr:nvPicPr>
      <xdr:blipFill>
        <a:blip xmlns:r="http://schemas.openxmlformats.org/officeDocument/2006/relationships" r:embed="rId1"/>
        <a:srcRect/>
        <a:stretch>
          <a:fillRect/>
        </a:stretch>
      </xdr:blipFill>
      <xdr:spPr bwMode="auto">
        <a:xfrm>
          <a:off x="7004050" y="869950"/>
          <a:ext cx="3371850" cy="1428750"/>
        </a:xfrm>
        <a:prstGeom prst="rect">
          <a:avLst/>
        </a:prstGeom>
        <a:noFill/>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mitsumori\gurandehagakure_heyadai2.pdf" TargetMode="External"/><Relationship Id="rId2" Type="http://schemas.openxmlformats.org/officeDocument/2006/relationships/hyperlink" Target="mitsumori\teensmyujikaru_mitumori2.pdf" TargetMode="External"/><Relationship Id="rId1" Type="http://schemas.openxmlformats.org/officeDocument/2006/relationships/hyperlink" Target="mitsumori\kitte_ryousyuusyo2.pdf" TargetMode="External"/><Relationship Id="rId6" Type="http://schemas.openxmlformats.org/officeDocument/2006/relationships/printerSettings" Target="../printerSettings/printerSettings2.bin"/><Relationship Id="rId5" Type="http://schemas.openxmlformats.org/officeDocument/2006/relationships/hyperlink" Target="mitsumori\teensmyujikaru_mitumori2.pdf" TargetMode="External"/><Relationship Id="rId4" Type="http://schemas.openxmlformats.org/officeDocument/2006/relationships/hyperlink" Target="mitsumori\gurandehagakure_heyadai2.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mitsumori\teensmyujikaru_mitumori2.pdf" TargetMode="External"/><Relationship Id="rId2" Type="http://schemas.openxmlformats.org/officeDocument/2006/relationships/hyperlink" Target="mitsumori\kitte_ryousyuusyo2.pdf" TargetMode="External"/><Relationship Id="rId1" Type="http://schemas.openxmlformats.org/officeDocument/2006/relationships/hyperlink" Target="mitsumori\gurandehagakure_heyadai2.pdf" TargetMode="External"/><Relationship Id="rId5" Type="http://schemas.openxmlformats.org/officeDocument/2006/relationships/printerSettings" Target="../printerSettings/printerSettings5.bin"/><Relationship Id="rId4" Type="http://schemas.openxmlformats.org/officeDocument/2006/relationships/hyperlink" Target="mitsumori\gurandehagakure_heyadai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7"/>
  <sheetViews>
    <sheetView showGridLines="0" topLeftCell="A2" workbookViewId="0">
      <selection activeCell="D21" sqref="D21"/>
    </sheetView>
  </sheetViews>
  <sheetFormatPr defaultRowHeight="13.2" x14ac:dyDescent="0.2"/>
  <cols>
    <col min="1" max="1" width="5.6640625" customWidth="1"/>
    <col min="2" max="2" width="23.33203125" customWidth="1"/>
    <col min="3" max="12" width="3.109375" customWidth="1"/>
    <col min="13" max="13" width="39.44140625" customWidth="1"/>
    <col min="14" max="14" width="9.44140625"/>
    <col min="15" max="15" width="3.44140625" customWidth="1"/>
    <col min="16" max="17" width="9.44140625"/>
    <col min="18" max="18" width="2.109375" customWidth="1"/>
  </cols>
  <sheetData>
    <row r="1" spans="1:26" ht="33.75" customHeight="1" x14ac:dyDescent="0.2">
      <c r="A1" s="204" t="s">
        <v>0</v>
      </c>
      <c r="B1" s="204"/>
      <c r="C1" s="204"/>
      <c r="D1" s="204"/>
      <c r="E1" s="204"/>
      <c r="F1" s="204"/>
      <c r="G1" s="204"/>
      <c r="H1" s="204"/>
      <c r="I1" s="204"/>
      <c r="J1" s="204"/>
      <c r="K1" s="204"/>
      <c r="L1" s="204"/>
      <c r="M1" s="204"/>
      <c r="N1" s="3"/>
      <c r="O1" s="3"/>
      <c r="P1" s="2"/>
      <c r="Q1" s="2"/>
      <c r="R1" s="2"/>
      <c r="S1" s="2"/>
      <c r="T1" s="2"/>
      <c r="U1" s="2"/>
      <c r="V1" s="2"/>
      <c r="W1" s="2"/>
      <c r="X1" s="2"/>
      <c r="Y1" s="2"/>
      <c r="Z1" s="2"/>
    </row>
    <row r="2" spans="1:26" ht="5.25" customHeight="1" x14ac:dyDescent="0.2">
      <c r="A2" s="4"/>
      <c r="B2" s="4"/>
      <c r="C2" s="4"/>
      <c r="D2" s="4"/>
      <c r="E2" s="4"/>
      <c r="F2" s="4"/>
      <c r="G2" s="4"/>
      <c r="H2" s="4"/>
      <c r="I2" s="4"/>
      <c r="J2" s="4"/>
      <c r="K2" s="4"/>
      <c r="L2" s="4"/>
      <c r="M2" s="5"/>
      <c r="N2" s="3"/>
      <c r="O2" s="3"/>
      <c r="P2" s="2"/>
      <c r="Q2" s="2"/>
      <c r="R2" s="2"/>
      <c r="S2" s="2"/>
      <c r="T2" s="2"/>
      <c r="U2" s="2"/>
      <c r="V2" s="2"/>
      <c r="W2" s="2"/>
      <c r="X2" s="2"/>
      <c r="Y2" s="2"/>
      <c r="Z2" s="2"/>
    </row>
    <row r="3" spans="1:26" ht="30.75" customHeight="1" x14ac:dyDescent="0.2">
      <c r="A3" s="6" t="s">
        <v>1</v>
      </c>
      <c r="B3" s="7" t="s">
        <v>2</v>
      </c>
      <c r="C3" s="7"/>
      <c r="D3" s="7"/>
      <c r="E3" s="7"/>
      <c r="F3" s="7"/>
      <c r="G3" s="7"/>
      <c r="H3" s="7"/>
      <c r="I3" s="7"/>
      <c r="J3" s="7"/>
      <c r="K3" s="7"/>
      <c r="L3" s="7"/>
      <c r="M3" s="7" t="s">
        <v>3</v>
      </c>
      <c r="N3" s="8"/>
      <c r="O3" s="9"/>
      <c r="P3" s="2"/>
      <c r="Q3" s="3"/>
      <c r="R3" s="8" t="s">
        <v>4</v>
      </c>
      <c r="S3" s="2"/>
      <c r="T3" s="2"/>
      <c r="U3" s="2"/>
      <c r="V3" s="2"/>
      <c r="W3" s="2"/>
      <c r="X3" s="2"/>
      <c r="Y3" s="2"/>
      <c r="Z3" s="2"/>
    </row>
    <row r="4" spans="1:26" ht="15" customHeight="1" x14ac:dyDescent="0.2">
      <c r="A4" s="205" t="s">
        <v>5</v>
      </c>
      <c r="B4" s="206"/>
      <c r="C4" s="209" t="s">
        <v>6</v>
      </c>
      <c r="D4" s="210"/>
      <c r="E4" s="209" t="s">
        <v>7</v>
      </c>
      <c r="F4" s="210"/>
      <c r="G4" s="209" t="s">
        <v>8</v>
      </c>
      <c r="H4" s="210"/>
      <c r="I4" s="209" t="s">
        <v>9</v>
      </c>
      <c r="J4" s="210"/>
      <c r="K4" s="209" t="s">
        <v>10</v>
      </c>
      <c r="L4" s="210"/>
      <c r="M4" s="11"/>
      <c r="N4" s="8"/>
      <c r="O4" s="9"/>
      <c r="P4" s="2"/>
      <c r="Q4" s="3"/>
      <c r="R4" s="2"/>
      <c r="S4" s="2"/>
      <c r="T4" s="2"/>
      <c r="U4" s="2"/>
      <c r="V4" s="2"/>
      <c r="W4" s="2"/>
      <c r="X4" s="2"/>
      <c r="Y4" s="2"/>
      <c r="Z4" s="2"/>
    </row>
    <row r="5" spans="1:26" ht="15" customHeight="1" x14ac:dyDescent="0.2">
      <c r="A5" s="207"/>
      <c r="B5" s="208"/>
      <c r="C5" s="12" t="s">
        <v>11</v>
      </c>
      <c r="D5" s="12" t="s">
        <v>12</v>
      </c>
      <c r="E5" s="12" t="s">
        <v>11</v>
      </c>
      <c r="F5" s="12" t="s">
        <v>12</v>
      </c>
      <c r="G5" s="12" t="s">
        <v>11</v>
      </c>
      <c r="H5" s="12" t="s">
        <v>12</v>
      </c>
      <c r="I5" s="12" t="s">
        <v>11</v>
      </c>
      <c r="J5" s="12" t="s">
        <v>12</v>
      </c>
      <c r="K5" s="12" t="s">
        <v>11</v>
      </c>
      <c r="L5" s="12" t="s">
        <v>12</v>
      </c>
      <c r="M5" s="13" t="s">
        <v>13</v>
      </c>
      <c r="N5" s="8"/>
      <c r="O5" s="9"/>
      <c r="P5" s="2"/>
      <c r="Q5" s="3"/>
      <c r="R5" s="2"/>
      <c r="S5" s="2"/>
      <c r="T5" s="2"/>
      <c r="U5" s="2"/>
      <c r="V5" s="2"/>
      <c r="W5" s="2"/>
      <c r="X5" s="2"/>
      <c r="Y5" s="2"/>
      <c r="Z5" s="2"/>
    </row>
    <row r="6" spans="1:26" ht="15" customHeight="1" x14ac:dyDescent="0.2">
      <c r="A6" s="14"/>
      <c r="B6" s="15" t="s">
        <v>14</v>
      </c>
      <c r="C6" s="16" t="s">
        <v>15</v>
      </c>
      <c r="D6" s="12" t="s">
        <v>16</v>
      </c>
      <c r="E6" s="12" t="s">
        <v>15</v>
      </c>
      <c r="F6" s="12" t="s">
        <v>15</v>
      </c>
      <c r="G6" s="12" t="s">
        <v>15</v>
      </c>
      <c r="H6" s="12" t="s">
        <v>15</v>
      </c>
      <c r="I6" s="12" t="s">
        <v>15</v>
      </c>
      <c r="J6" s="12" t="s">
        <v>15</v>
      </c>
      <c r="K6" s="12" t="s">
        <v>15</v>
      </c>
      <c r="L6" s="12" t="s">
        <v>15</v>
      </c>
      <c r="M6" s="17" t="s">
        <v>17</v>
      </c>
      <c r="N6" s="18"/>
      <c r="O6" s="18"/>
      <c r="P6" s="2"/>
      <c r="Q6" s="2"/>
      <c r="R6" s="2"/>
      <c r="S6" s="2"/>
      <c r="T6" s="2"/>
      <c r="U6" s="2"/>
      <c r="V6" s="2"/>
      <c r="W6" s="2"/>
      <c r="X6" s="2"/>
      <c r="Y6" s="2"/>
      <c r="Z6" s="2"/>
    </row>
    <row r="7" spans="1:26" ht="15" customHeight="1" x14ac:dyDescent="0.2">
      <c r="A7" s="14"/>
      <c r="B7" s="19" t="s">
        <v>18</v>
      </c>
      <c r="C7" s="16" t="s">
        <v>15</v>
      </c>
      <c r="D7" s="12" t="s">
        <v>16</v>
      </c>
      <c r="E7" s="12" t="s">
        <v>15</v>
      </c>
      <c r="F7" s="12" t="s">
        <v>15</v>
      </c>
      <c r="G7" s="12" t="s">
        <v>15</v>
      </c>
      <c r="H7" s="12" t="s">
        <v>15</v>
      </c>
      <c r="I7" s="12" t="s">
        <v>15</v>
      </c>
      <c r="J7" s="12" t="s">
        <v>15</v>
      </c>
      <c r="K7" s="12" t="s">
        <v>15</v>
      </c>
      <c r="L7" s="12" t="s">
        <v>15</v>
      </c>
      <c r="M7" s="17" t="s">
        <v>19</v>
      </c>
      <c r="N7" s="18"/>
      <c r="O7" s="18"/>
      <c r="P7" s="2"/>
      <c r="Q7" s="2"/>
      <c r="R7" s="2"/>
      <c r="S7" s="2"/>
      <c r="T7" s="2"/>
      <c r="U7" s="2"/>
      <c r="V7" s="2"/>
      <c r="W7" s="2"/>
      <c r="X7" s="2"/>
      <c r="Y7" s="2"/>
      <c r="Z7" s="2"/>
    </row>
    <row r="8" spans="1:26" ht="15" customHeight="1" x14ac:dyDescent="0.2">
      <c r="A8" s="20" t="s">
        <v>20</v>
      </c>
      <c r="B8" s="19" t="s">
        <v>21</v>
      </c>
      <c r="C8" s="16" t="s">
        <v>15</v>
      </c>
      <c r="D8" s="12" t="s">
        <v>16</v>
      </c>
      <c r="E8" s="12" t="s">
        <v>15</v>
      </c>
      <c r="F8" s="12" t="s">
        <v>15</v>
      </c>
      <c r="G8" s="12" t="s">
        <v>15</v>
      </c>
      <c r="H8" s="12" t="s">
        <v>15</v>
      </c>
      <c r="I8" s="12" t="s">
        <v>15</v>
      </c>
      <c r="J8" s="12" t="s">
        <v>15</v>
      </c>
      <c r="K8" s="12" t="s">
        <v>16</v>
      </c>
      <c r="L8" s="12" t="s">
        <v>16</v>
      </c>
      <c r="M8" s="21"/>
      <c r="N8" s="3"/>
      <c r="O8" s="3"/>
      <c r="P8" s="2"/>
      <c r="Q8" s="2"/>
      <c r="R8" s="2"/>
      <c r="S8" s="2"/>
      <c r="T8" s="2"/>
      <c r="U8" s="2"/>
      <c r="V8" s="2"/>
      <c r="W8" s="2"/>
      <c r="X8" s="2"/>
      <c r="Y8" s="2"/>
      <c r="Z8" s="2"/>
    </row>
    <row r="9" spans="1:26" ht="15" customHeight="1" x14ac:dyDescent="0.2">
      <c r="A9" s="20" t="s">
        <v>22</v>
      </c>
      <c r="B9" s="19" t="s">
        <v>23</v>
      </c>
      <c r="C9" s="16" t="s">
        <v>15</v>
      </c>
      <c r="D9" s="12" t="s">
        <v>16</v>
      </c>
      <c r="E9" s="12" t="s">
        <v>15</v>
      </c>
      <c r="F9" s="12" t="s">
        <v>15</v>
      </c>
      <c r="G9" s="12" t="s">
        <v>15</v>
      </c>
      <c r="H9" s="12" t="s">
        <v>15</v>
      </c>
      <c r="I9" s="12" t="s">
        <v>15</v>
      </c>
      <c r="J9" s="12" t="s">
        <v>15</v>
      </c>
      <c r="K9" s="12" t="s">
        <v>16</v>
      </c>
      <c r="L9" s="12" t="s">
        <v>16</v>
      </c>
      <c r="M9" s="21" t="s">
        <v>24</v>
      </c>
      <c r="N9" s="2"/>
      <c r="O9" s="2"/>
      <c r="P9" s="2"/>
      <c r="Q9" s="2"/>
      <c r="R9" s="2"/>
      <c r="S9" s="2"/>
      <c r="T9" s="2"/>
      <c r="U9" s="2"/>
      <c r="V9" s="2"/>
      <c r="W9" s="2"/>
      <c r="X9" s="2"/>
      <c r="Y9" s="2"/>
      <c r="Z9" s="2"/>
    </row>
    <row r="10" spans="1:26" ht="15" customHeight="1" x14ac:dyDescent="0.2">
      <c r="A10" s="20" t="s">
        <v>25</v>
      </c>
      <c r="B10" s="19" t="s">
        <v>26</v>
      </c>
      <c r="C10" s="16" t="s">
        <v>15</v>
      </c>
      <c r="D10" s="12" t="s">
        <v>16</v>
      </c>
      <c r="E10" s="12" t="s">
        <v>15</v>
      </c>
      <c r="F10" s="12" t="s">
        <v>15</v>
      </c>
      <c r="G10" s="12" t="s">
        <v>16</v>
      </c>
      <c r="H10" s="12" t="s">
        <v>16</v>
      </c>
      <c r="I10" s="12" t="s">
        <v>16</v>
      </c>
      <c r="J10" s="12" t="s">
        <v>16</v>
      </c>
      <c r="K10" s="12" t="s">
        <v>16</v>
      </c>
      <c r="L10" s="12" t="s">
        <v>16</v>
      </c>
      <c r="M10" s="21"/>
      <c r="N10" s="2"/>
      <c r="O10" s="2"/>
      <c r="P10" s="2"/>
      <c r="Q10" s="2"/>
      <c r="R10" s="2"/>
      <c r="S10" s="2"/>
      <c r="T10" s="2"/>
      <c r="U10" s="2"/>
      <c r="V10" s="2"/>
      <c r="W10" s="2"/>
      <c r="X10" s="2"/>
      <c r="Y10" s="2"/>
      <c r="Z10" s="2"/>
    </row>
    <row r="11" spans="1:26" ht="15" customHeight="1" x14ac:dyDescent="0.2">
      <c r="A11" s="20" t="s">
        <v>27</v>
      </c>
      <c r="B11" s="19" t="s">
        <v>28</v>
      </c>
      <c r="C11" s="16" t="s">
        <v>15</v>
      </c>
      <c r="D11" s="12" t="s">
        <v>16</v>
      </c>
      <c r="E11" s="12" t="s">
        <v>15</v>
      </c>
      <c r="F11" s="12" t="s">
        <v>15</v>
      </c>
      <c r="G11" s="12" t="s">
        <v>16</v>
      </c>
      <c r="H11" s="12" t="s">
        <v>16</v>
      </c>
      <c r="I11" s="12" t="s">
        <v>16</v>
      </c>
      <c r="J11" s="12" t="s">
        <v>16</v>
      </c>
      <c r="K11" s="12" t="s">
        <v>16</v>
      </c>
      <c r="L11" s="12" t="s">
        <v>16</v>
      </c>
      <c r="M11" s="21"/>
      <c r="N11" s="2"/>
      <c r="O11" s="2"/>
      <c r="P11" s="2"/>
      <c r="Q11" s="2"/>
      <c r="R11" s="2"/>
      <c r="S11" s="2"/>
      <c r="T11" s="2"/>
      <c r="U11" s="2"/>
      <c r="V11" s="2"/>
      <c r="W11" s="2"/>
      <c r="X11" s="2"/>
      <c r="Y11" s="2"/>
      <c r="Z11" s="2"/>
    </row>
    <row r="12" spans="1:26" ht="30" customHeight="1" x14ac:dyDescent="0.2">
      <c r="A12" s="20" t="s">
        <v>29</v>
      </c>
      <c r="B12" s="19" t="s">
        <v>30</v>
      </c>
      <c r="C12" s="16" t="s">
        <v>15</v>
      </c>
      <c r="D12" s="12" t="s">
        <v>16</v>
      </c>
      <c r="E12" s="12" t="s">
        <v>15</v>
      </c>
      <c r="F12" s="12" t="s">
        <v>15</v>
      </c>
      <c r="G12" s="12" t="s">
        <v>15</v>
      </c>
      <c r="H12" s="12" t="s">
        <v>15</v>
      </c>
      <c r="I12" s="12" t="s">
        <v>15</v>
      </c>
      <c r="J12" s="12" t="s">
        <v>15</v>
      </c>
      <c r="K12" s="12" t="s">
        <v>15</v>
      </c>
      <c r="L12" s="12" t="s">
        <v>15</v>
      </c>
      <c r="M12" s="21" t="s">
        <v>31</v>
      </c>
      <c r="N12" s="2"/>
      <c r="O12" s="2"/>
      <c r="P12" s="2"/>
      <c r="Q12" s="2"/>
      <c r="R12" s="2"/>
      <c r="S12" s="2"/>
      <c r="T12" s="2"/>
      <c r="U12" s="2"/>
      <c r="V12" s="2"/>
      <c r="W12" s="2"/>
      <c r="X12" s="2"/>
      <c r="Y12" s="2"/>
      <c r="Z12" s="2"/>
    </row>
    <row r="13" spans="1:26" ht="30" customHeight="1" x14ac:dyDescent="0.2">
      <c r="A13" s="20" t="s">
        <v>32</v>
      </c>
      <c r="B13" s="19" t="s">
        <v>33</v>
      </c>
      <c r="C13" s="16" t="s">
        <v>34</v>
      </c>
      <c r="D13" s="12" t="s">
        <v>16</v>
      </c>
      <c r="E13" s="12" t="s">
        <v>34</v>
      </c>
      <c r="F13" s="12" t="s">
        <v>35</v>
      </c>
      <c r="G13" s="12" t="s">
        <v>34</v>
      </c>
      <c r="H13" s="12" t="s">
        <v>35</v>
      </c>
      <c r="I13" s="12" t="s">
        <v>16</v>
      </c>
      <c r="J13" s="12" t="s">
        <v>16</v>
      </c>
      <c r="K13" s="12" t="s">
        <v>34</v>
      </c>
      <c r="L13" s="12" t="s">
        <v>34</v>
      </c>
      <c r="M13" s="13" t="s">
        <v>36</v>
      </c>
      <c r="N13" s="2"/>
      <c r="O13" s="2"/>
      <c r="P13" s="2"/>
      <c r="Q13" s="2"/>
      <c r="R13" s="2"/>
      <c r="S13" s="2"/>
      <c r="T13" s="2"/>
      <c r="U13" s="2"/>
      <c r="V13" s="2"/>
      <c r="W13" s="2"/>
      <c r="X13" s="2"/>
      <c r="Y13" s="2"/>
      <c r="Z13" s="2"/>
    </row>
    <row r="14" spans="1:26" ht="30" customHeight="1" x14ac:dyDescent="0.2">
      <c r="A14" s="20" t="s">
        <v>37</v>
      </c>
      <c r="B14" s="19" t="s">
        <v>38</v>
      </c>
      <c r="C14" s="16" t="s">
        <v>34</v>
      </c>
      <c r="D14" s="12" t="s">
        <v>16</v>
      </c>
      <c r="E14" s="12" t="s">
        <v>34</v>
      </c>
      <c r="F14" s="12" t="s">
        <v>34</v>
      </c>
      <c r="G14" s="12" t="s">
        <v>34</v>
      </c>
      <c r="H14" s="12" t="s">
        <v>34</v>
      </c>
      <c r="I14" s="12" t="s">
        <v>34</v>
      </c>
      <c r="J14" s="12" t="s">
        <v>34</v>
      </c>
      <c r="K14" s="12" t="s">
        <v>16</v>
      </c>
      <c r="L14" s="12" t="s">
        <v>16</v>
      </c>
      <c r="M14" s="21" t="s">
        <v>39</v>
      </c>
      <c r="N14" s="2"/>
      <c r="O14" s="2"/>
      <c r="P14" s="2"/>
      <c r="Q14" s="2"/>
      <c r="R14" s="2"/>
      <c r="S14" s="2"/>
      <c r="T14" s="2"/>
      <c r="U14" s="2"/>
      <c r="V14" s="2"/>
      <c r="W14" s="2"/>
      <c r="X14" s="2"/>
      <c r="Y14" s="2"/>
      <c r="Z14" s="2"/>
    </row>
    <row r="15" spans="1:26" ht="15" customHeight="1" x14ac:dyDescent="0.2">
      <c r="A15" s="20" t="s">
        <v>40</v>
      </c>
      <c r="B15" s="19" t="s">
        <v>41</v>
      </c>
      <c r="C15" s="16" t="s">
        <v>34</v>
      </c>
      <c r="D15" s="12" t="s">
        <v>16</v>
      </c>
      <c r="E15" s="12" t="s">
        <v>34</v>
      </c>
      <c r="F15" s="12" t="s">
        <v>34</v>
      </c>
      <c r="G15" s="12" t="s">
        <v>34</v>
      </c>
      <c r="H15" s="12" t="s">
        <v>34</v>
      </c>
      <c r="I15" s="12" t="s">
        <v>34</v>
      </c>
      <c r="J15" s="12" t="s">
        <v>34</v>
      </c>
      <c r="K15" s="12" t="s">
        <v>16</v>
      </c>
      <c r="L15" s="12" t="s">
        <v>16</v>
      </c>
      <c r="M15" s="21" t="s">
        <v>42</v>
      </c>
      <c r="N15" s="2"/>
      <c r="O15" s="2"/>
      <c r="P15" s="2"/>
      <c r="Q15" s="2"/>
      <c r="R15" s="2"/>
      <c r="S15" s="2"/>
      <c r="T15" s="2"/>
      <c r="U15" s="2"/>
      <c r="V15" s="2"/>
      <c r="W15" s="2"/>
      <c r="X15" s="2"/>
      <c r="Y15" s="2"/>
      <c r="Z15" s="2"/>
    </row>
    <row r="16" spans="1:26" ht="15" customHeight="1" x14ac:dyDescent="0.2">
      <c r="A16" s="20" t="s">
        <v>43</v>
      </c>
      <c r="B16" s="19" t="s">
        <v>44</v>
      </c>
      <c r="C16" s="16" t="s">
        <v>34</v>
      </c>
      <c r="D16" s="12" t="s">
        <v>16</v>
      </c>
      <c r="E16" s="12" t="s">
        <v>34</v>
      </c>
      <c r="F16" s="12" t="s">
        <v>34</v>
      </c>
      <c r="G16" s="12" t="s">
        <v>34</v>
      </c>
      <c r="H16" s="12" t="s">
        <v>34</v>
      </c>
      <c r="I16" s="12" t="s">
        <v>34</v>
      </c>
      <c r="J16" s="12" t="s">
        <v>34</v>
      </c>
      <c r="K16" s="12" t="s">
        <v>16</v>
      </c>
      <c r="L16" s="12" t="s">
        <v>16</v>
      </c>
      <c r="M16" s="21" t="s">
        <v>45</v>
      </c>
      <c r="N16" s="2"/>
      <c r="O16" s="2"/>
      <c r="P16" s="2"/>
      <c r="Q16" s="2"/>
      <c r="R16" s="2"/>
      <c r="S16" s="2"/>
      <c r="T16" s="2"/>
      <c r="U16" s="2"/>
      <c r="V16" s="2"/>
      <c r="W16" s="2"/>
      <c r="X16" s="2"/>
      <c r="Y16" s="2"/>
      <c r="Z16" s="2"/>
    </row>
    <row r="17" spans="1:26" ht="15" customHeight="1" x14ac:dyDescent="0.2">
      <c r="A17" s="20" t="s">
        <v>46</v>
      </c>
      <c r="B17" s="19" t="s">
        <v>47</v>
      </c>
      <c r="C17" s="16" t="s">
        <v>16</v>
      </c>
      <c r="D17" s="12" t="s">
        <v>16</v>
      </c>
      <c r="E17" s="12" t="s">
        <v>16</v>
      </c>
      <c r="F17" s="12" t="s">
        <v>16</v>
      </c>
      <c r="G17" s="12" t="s">
        <v>16</v>
      </c>
      <c r="H17" s="12" t="s">
        <v>16</v>
      </c>
      <c r="I17" s="12" t="s">
        <v>16</v>
      </c>
      <c r="J17" s="12" t="s">
        <v>16</v>
      </c>
      <c r="K17" s="12" t="s">
        <v>15</v>
      </c>
      <c r="L17" s="12" t="s">
        <v>15</v>
      </c>
      <c r="M17" s="21"/>
      <c r="N17" s="2"/>
      <c r="O17" s="2"/>
      <c r="P17" s="2"/>
      <c r="Q17" s="2"/>
      <c r="R17" s="2"/>
      <c r="S17" s="2"/>
      <c r="T17" s="2"/>
      <c r="U17" s="2"/>
      <c r="V17" s="2"/>
      <c r="W17" s="2"/>
      <c r="X17" s="2"/>
      <c r="Y17" s="2"/>
      <c r="Z17" s="2"/>
    </row>
    <row r="18" spans="1:26" x14ac:dyDescent="0.2">
      <c r="A18" s="20" t="s">
        <v>48</v>
      </c>
      <c r="B18" s="19" t="s">
        <v>49</v>
      </c>
      <c r="C18" s="16" t="s">
        <v>16</v>
      </c>
      <c r="D18" s="12" t="s">
        <v>16</v>
      </c>
      <c r="E18" s="12" t="s">
        <v>16</v>
      </c>
      <c r="F18" s="12" t="s">
        <v>16</v>
      </c>
      <c r="G18" s="12" t="s">
        <v>16</v>
      </c>
      <c r="H18" s="12" t="s">
        <v>16</v>
      </c>
      <c r="I18" s="12" t="s">
        <v>16</v>
      </c>
      <c r="J18" s="12" t="s">
        <v>16</v>
      </c>
      <c r="K18" s="12" t="s">
        <v>15</v>
      </c>
      <c r="L18" s="12" t="s">
        <v>15</v>
      </c>
      <c r="M18" s="21"/>
      <c r="N18" s="2"/>
      <c r="O18" s="2"/>
      <c r="P18" s="2"/>
      <c r="Q18" s="2"/>
      <c r="R18" s="2"/>
      <c r="S18" s="2"/>
      <c r="T18" s="2"/>
      <c r="U18" s="2"/>
      <c r="V18" s="2"/>
      <c r="W18" s="2"/>
      <c r="X18" s="2"/>
      <c r="Y18" s="2"/>
      <c r="Z18" s="2"/>
    </row>
    <row r="19" spans="1:26" x14ac:dyDescent="0.2">
      <c r="A19" s="20" t="s">
        <v>50</v>
      </c>
      <c r="B19" s="19" t="s">
        <v>51</v>
      </c>
      <c r="C19" s="16" t="s">
        <v>16</v>
      </c>
      <c r="D19" s="12" t="s">
        <v>16</v>
      </c>
      <c r="E19" s="12" t="s">
        <v>16</v>
      </c>
      <c r="F19" s="12" t="s">
        <v>16</v>
      </c>
      <c r="G19" s="12" t="s">
        <v>15</v>
      </c>
      <c r="H19" s="12" t="s">
        <v>15</v>
      </c>
      <c r="I19" s="12" t="s">
        <v>15</v>
      </c>
      <c r="J19" s="12" t="s">
        <v>15</v>
      </c>
      <c r="K19" s="12" t="s">
        <v>34</v>
      </c>
      <c r="L19" s="12" t="s">
        <v>34</v>
      </c>
      <c r="M19" s="21" t="s">
        <v>52</v>
      </c>
      <c r="N19" s="2"/>
      <c r="O19" s="2"/>
      <c r="P19" s="2"/>
      <c r="Q19" s="2"/>
      <c r="R19" s="2"/>
      <c r="S19" s="2"/>
      <c r="T19" s="2"/>
      <c r="U19" s="2"/>
      <c r="V19" s="2"/>
      <c r="W19" s="2"/>
      <c r="X19" s="2"/>
      <c r="Y19" s="2"/>
      <c r="Z19" s="2"/>
    </row>
    <row r="20" spans="1:26" x14ac:dyDescent="0.2">
      <c r="A20" s="20" t="s">
        <v>53</v>
      </c>
      <c r="B20" s="19" t="s">
        <v>54</v>
      </c>
      <c r="C20" s="16" t="s">
        <v>16</v>
      </c>
      <c r="D20" s="12" t="s">
        <v>16</v>
      </c>
      <c r="E20" s="12" t="s">
        <v>16</v>
      </c>
      <c r="F20" s="12" t="s">
        <v>16</v>
      </c>
      <c r="G20" s="12" t="s">
        <v>16</v>
      </c>
      <c r="H20" s="12" t="s">
        <v>16</v>
      </c>
      <c r="I20" s="12" t="s">
        <v>16</v>
      </c>
      <c r="J20" s="12" t="s">
        <v>16</v>
      </c>
      <c r="K20" s="12" t="s">
        <v>15</v>
      </c>
      <c r="L20" s="12" t="s">
        <v>15</v>
      </c>
      <c r="M20" s="21"/>
      <c r="N20" s="2"/>
      <c r="O20" s="2"/>
      <c r="P20" s="2"/>
      <c r="Q20" s="2"/>
      <c r="R20" s="2"/>
      <c r="S20" s="2"/>
      <c r="T20" s="2"/>
      <c r="U20" s="2"/>
      <c r="V20" s="2"/>
      <c r="W20" s="2"/>
      <c r="X20" s="2"/>
      <c r="Y20" s="2"/>
      <c r="Z20" s="2"/>
    </row>
    <row r="21" spans="1:26" x14ac:dyDescent="0.2">
      <c r="A21" s="20" t="s">
        <v>55</v>
      </c>
      <c r="B21" s="19" t="s">
        <v>56</v>
      </c>
      <c r="C21" s="16" t="s">
        <v>16</v>
      </c>
      <c r="D21" s="12" t="s">
        <v>16</v>
      </c>
      <c r="E21" s="12" t="s">
        <v>16</v>
      </c>
      <c r="F21" s="12" t="s">
        <v>16</v>
      </c>
      <c r="G21" s="12" t="s">
        <v>15</v>
      </c>
      <c r="H21" s="12" t="s">
        <v>15</v>
      </c>
      <c r="I21" s="12" t="s">
        <v>15</v>
      </c>
      <c r="J21" s="12" t="s">
        <v>15</v>
      </c>
      <c r="K21" s="12" t="s">
        <v>16</v>
      </c>
      <c r="L21" s="12" t="s">
        <v>16</v>
      </c>
      <c r="M21" s="21" t="s">
        <v>57</v>
      </c>
      <c r="N21" s="2"/>
      <c r="O21" s="2"/>
      <c r="P21" s="2"/>
      <c r="Q21" s="2"/>
      <c r="R21" s="2"/>
      <c r="S21" s="2"/>
      <c r="T21" s="2"/>
      <c r="U21" s="2"/>
      <c r="V21" s="2"/>
      <c r="W21" s="2"/>
      <c r="X21" s="2"/>
      <c r="Y21" s="2"/>
      <c r="Z21" s="2"/>
    </row>
    <row r="22" spans="1:26" x14ac:dyDescent="0.2">
      <c r="A22" s="22" t="s">
        <v>58</v>
      </c>
      <c r="B22" s="23" t="s">
        <v>59</v>
      </c>
      <c r="C22" s="16" t="s">
        <v>16</v>
      </c>
      <c r="D22" s="12" t="s">
        <v>16</v>
      </c>
      <c r="E22" s="12" t="s">
        <v>16</v>
      </c>
      <c r="F22" s="12" t="s">
        <v>16</v>
      </c>
      <c r="G22" s="12" t="s">
        <v>15</v>
      </c>
      <c r="H22" s="12" t="s">
        <v>15</v>
      </c>
      <c r="I22" s="12" t="s">
        <v>15</v>
      </c>
      <c r="J22" s="12" t="s">
        <v>15</v>
      </c>
      <c r="K22" s="12" t="s">
        <v>16</v>
      </c>
      <c r="L22" s="12" t="s">
        <v>16</v>
      </c>
      <c r="M22" s="24" t="s">
        <v>57</v>
      </c>
      <c r="N22" s="2"/>
      <c r="O22" s="2"/>
      <c r="P22" s="2"/>
      <c r="Q22" s="2"/>
      <c r="R22" s="2"/>
      <c r="S22" s="2"/>
      <c r="T22" s="2"/>
      <c r="U22" s="2"/>
      <c r="V22" s="2"/>
      <c r="W22" s="2"/>
      <c r="X22" s="2"/>
      <c r="Y22" s="2"/>
      <c r="Z22" s="2"/>
    </row>
    <row r="23" spans="1:26" ht="21" x14ac:dyDescent="0.2">
      <c r="A23" s="1"/>
      <c r="B23" s="1"/>
      <c r="C23" s="1"/>
      <c r="D23" s="1"/>
      <c r="E23" s="1"/>
      <c r="F23" s="1"/>
      <c r="G23" s="1"/>
      <c r="H23" s="1"/>
      <c r="I23" s="1"/>
      <c r="J23" s="1"/>
      <c r="K23" s="1"/>
      <c r="L23" s="1"/>
      <c r="M23" s="1"/>
      <c r="N23" s="3"/>
      <c r="O23" s="3"/>
      <c r="P23" s="2"/>
      <c r="Q23" s="2"/>
      <c r="R23" s="2"/>
      <c r="S23" s="2"/>
      <c r="T23" s="2"/>
      <c r="U23" s="2"/>
      <c r="V23" s="2"/>
      <c r="W23" s="2"/>
      <c r="X23" s="2"/>
      <c r="Y23" s="2"/>
      <c r="Z23" s="2"/>
    </row>
    <row r="24" spans="1:26" ht="24.9" customHeight="1" x14ac:dyDescent="0.2">
      <c r="A24" s="202" t="s">
        <v>60</v>
      </c>
      <c r="B24" s="203"/>
      <c r="C24" s="25"/>
      <c r="D24" s="25"/>
      <c r="E24" s="25"/>
      <c r="F24" s="25"/>
      <c r="G24" s="25"/>
      <c r="H24" s="25"/>
      <c r="I24" s="25"/>
      <c r="J24" s="25"/>
      <c r="K24" s="25"/>
      <c r="L24" s="25"/>
      <c r="M24" s="26"/>
      <c r="N24" s="3"/>
      <c r="O24" s="3"/>
      <c r="P24" s="2"/>
      <c r="Q24" s="2"/>
      <c r="R24" s="2"/>
      <c r="S24" s="2"/>
      <c r="T24" s="2"/>
      <c r="U24" s="2"/>
      <c r="V24" s="2"/>
      <c r="W24" s="2"/>
      <c r="X24" s="2"/>
      <c r="Y24" s="2"/>
      <c r="Z24" s="2"/>
    </row>
    <row r="25" spans="1:26" x14ac:dyDescent="0.2">
      <c r="A25" s="20" t="s">
        <v>61</v>
      </c>
      <c r="B25" s="19" t="s">
        <v>62</v>
      </c>
      <c r="C25" s="27" t="s">
        <v>34</v>
      </c>
      <c r="D25" s="28" t="s">
        <v>16</v>
      </c>
      <c r="E25" s="28" t="s">
        <v>34</v>
      </c>
      <c r="F25" s="28" t="s">
        <v>34</v>
      </c>
      <c r="G25" s="28" t="s">
        <v>34</v>
      </c>
      <c r="H25" s="28" t="s">
        <v>34</v>
      </c>
      <c r="I25" s="28" t="s">
        <v>34</v>
      </c>
      <c r="J25" s="28" t="s">
        <v>34</v>
      </c>
      <c r="K25" s="28" t="s">
        <v>16</v>
      </c>
      <c r="L25" s="28" t="s">
        <v>16</v>
      </c>
      <c r="M25" s="21" t="s">
        <v>63</v>
      </c>
      <c r="N25" s="2"/>
      <c r="O25" s="2"/>
      <c r="P25" s="2"/>
      <c r="Q25" s="2"/>
      <c r="R25" s="2"/>
      <c r="S25" s="2"/>
      <c r="T25" s="2"/>
      <c r="U25" s="2"/>
      <c r="V25" s="2"/>
      <c r="W25" s="2"/>
      <c r="X25" s="2"/>
      <c r="Y25" s="2"/>
      <c r="Z25" s="2"/>
    </row>
    <row r="26" spans="1:26" ht="19.2" x14ac:dyDescent="0.2">
      <c r="A26" s="20" t="s">
        <v>64</v>
      </c>
      <c r="B26" s="19" t="s">
        <v>65</v>
      </c>
      <c r="C26" s="16" t="s">
        <v>16</v>
      </c>
      <c r="D26" s="12" t="s">
        <v>16</v>
      </c>
      <c r="E26" s="12" t="s">
        <v>16</v>
      </c>
      <c r="F26" s="12" t="s">
        <v>16</v>
      </c>
      <c r="G26" s="12" t="s">
        <v>16</v>
      </c>
      <c r="H26" s="12" t="s">
        <v>16</v>
      </c>
      <c r="I26" s="12" t="s">
        <v>16</v>
      </c>
      <c r="J26" s="12" t="s">
        <v>16</v>
      </c>
      <c r="K26" s="12" t="s">
        <v>34</v>
      </c>
      <c r="L26" s="12" t="s">
        <v>34</v>
      </c>
      <c r="M26" s="21" t="s">
        <v>66</v>
      </c>
      <c r="N26" s="2"/>
      <c r="O26" s="2"/>
      <c r="P26" s="2"/>
      <c r="Q26" s="2"/>
      <c r="R26" s="2"/>
      <c r="S26" s="2"/>
      <c r="T26" s="2"/>
      <c r="U26" s="2"/>
      <c r="V26" s="2"/>
      <c r="W26" s="2"/>
      <c r="X26" s="2"/>
      <c r="Y26" s="2"/>
      <c r="Z26" s="2"/>
    </row>
    <row r="27" spans="1:26" ht="19.2" x14ac:dyDescent="0.2">
      <c r="A27" s="22" t="s">
        <v>67</v>
      </c>
      <c r="B27" s="29" t="s">
        <v>68</v>
      </c>
      <c r="C27" s="16" t="s">
        <v>16</v>
      </c>
      <c r="D27" s="12" t="s">
        <v>16</v>
      </c>
      <c r="E27" s="12" t="s">
        <v>16</v>
      </c>
      <c r="F27" s="12" t="s">
        <v>16</v>
      </c>
      <c r="G27" s="12" t="s">
        <v>16</v>
      </c>
      <c r="H27" s="12" t="s">
        <v>16</v>
      </c>
      <c r="I27" s="12" t="s">
        <v>16</v>
      </c>
      <c r="J27" s="12" t="s">
        <v>16</v>
      </c>
      <c r="K27" s="12" t="s">
        <v>16</v>
      </c>
      <c r="L27" s="12" t="s">
        <v>16</v>
      </c>
      <c r="M27" s="24" t="s">
        <v>69</v>
      </c>
      <c r="N27" s="2"/>
      <c r="O27" s="2"/>
      <c r="P27" s="2"/>
      <c r="Q27" s="2"/>
      <c r="R27" s="2"/>
      <c r="S27" s="2"/>
      <c r="T27" s="2"/>
      <c r="U27" s="2"/>
      <c r="V27" s="2"/>
      <c r="W27" s="2"/>
      <c r="X27" s="2"/>
      <c r="Y27" s="2"/>
      <c r="Z27" s="2"/>
    </row>
    <row r="28" spans="1:26" x14ac:dyDescent="0.2">
      <c r="A28" s="30"/>
      <c r="B28" s="31"/>
      <c r="C28" s="10"/>
      <c r="D28" s="10"/>
      <c r="E28" s="10"/>
      <c r="F28" s="10"/>
      <c r="G28" s="10"/>
      <c r="H28" s="10"/>
      <c r="I28" s="10"/>
      <c r="J28" s="10"/>
      <c r="K28" s="10"/>
      <c r="L28" s="10"/>
      <c r="M28" s="32"/>
      <c r="N28" s="2"/>
      <c r="O28" s="2"/>
      <c r="P28" s="2"/>
      <c r="Q28" s="2"/>
      <c r="R28" s="2"/>
      <c r="S28" s="2"/>
      <c r="T28" s="2"/>
      <c r="U28" s="2"/>
      <c r="V28" s="2"/>
      <c r="W28" s="2"/>
      <c r="X28" s="2"/>
      <c r="Y28" s="2"/>
      <c r="Z28" s="2"/>
    </row>
    <row r="29" spans="1:26" ht="21" x14ac:dyDescent="0.2">
      <c r="A29" s="202" t="s">
        <v>70</v>
      </c>
      <c r="B29" s="203"/>
      <c r="C29" s="25"/>
      <c r="D29" s="25"/>
      <c r="E29" s="25"/>
      <c r="F29" s="25"/>
      <c r="G29" s="25"/>
      <c r="H29" s="25"/>
      <c r="I29" s="25"/>
      <c r="J29" s="25"/>
      <c r="K29" s="25"/>
      <c r="L29" s="25"/>
      <c r="M29" s="26"/>
      <c r="N29" s="3"/>
      <c r="O29" s="3"/>
      <c r="P29" s="2"/>
      <c r="Q29" s="2"/>
      <c r="R29" s="2"/>
      <c r="S29" s="2"/>
      <c r="T29" s="2"/>
      <c r="U29" s="2"/>
      <c r="V29" s="2"/>
      <c r="W29" s="2"/>
      <c r="X29" s="2"/>
      <c r="Y29" s="2"/>
      <c r="Z29" s="2"/>
    </row>
    <row r="30" spans="1:26" x14ac:dyDescent="0.2">
      <c r="A30" s="20" t="s">
        <v>71</v>
      </c>
      <c r="B30" s="19" t="s">
        <v>72</v>
      </c>
      <c r="C30" s="10"/>
      <c r="D30" s="10"/>
      <c r="E30" s="10"/>
      <c r="F30" s="10"/>
      <c r="G30" s="10"/>
      <c r="H30" s="10"/>
      <c r="I30" s="10"/>
      <c r="J30" s="10"/>
      <c r="K30" s="10"/>
      <c r="L30" s="10"/>
      <c r="M30" s="21" t="s">
        <v>73</v>
      </c>
      <c r="N30" s="2"/>
      <c r="O30" s="2"/>
      <c r="P30" s="2"/>
      <c r="Q30" s="2"/>
      <c r="R30" s="2"/>
      <c r="S30" s="2"/>
      <c r="T30" s="2"/>
      <c r="U30" s="2"/>
      <c r="V30" s="2"/>
      <c r="W30" s="2"/>
      <c r="X30" s="2"/>
      <c r="Y30" s="2"/>
      <c r="Z30" s="2"/>
    </row>
    <row r="31" spans="1:26" x14ac:dyDescent="0.2">
      <c r="A31" s="20" t="s">
        <v>74</v>
      </c>
      <c r="B31" s="19" t="s">
        <v>75</v>
      </c>
      <c r="C31" s="10"/>
      <c r="D31" s="10"/>
      <c r="E31" s="10"/>
      <c r="F31" s="10"/>
      <c r="G31" s="10"/>
      <c r="H31" s="10"/>
      <c r="I31" s="10"/>
      <c r="J31" s="10"/>
      <c r="K31" s="10"/>
      <c r="L31" s="10"/>
      <c r="M31" s="33" t="s">
        <v>76</v>
      </c>
      <c r="N31" s="2"/>
      <c r="O31" s="2"/>
      <c r="P31" s="2"/>
      <c r="Q31" s="2"/>
      <c r="R31" s="2"/>
      <c r="S31" s="2"/>
      <c r="T31" s="2"/>
      <c r="U31" s="2"/>
      <c r="V31" s="2"/>
      <c r="W31" s="2"/>
      <c r="X31" s="2"/>
      <c r="Y31" s="2"/>
      <c r="Z31" s="2"/>
    </row>
    <row r="32" spans="1:26" x14ac:dyDescent="0.2">
      <c r="A32" s="20" t="s">
        <v>77</v>
      </c>
      <c r="B32" s="19" t="s">
        <v>78</v>
      </c>
      <c r="C32" s="10"/>
      <c r="D32" s="10"/>
      <c r="E32" s="10"/>
      <c r="F32" s="10"/>
      <c r="G32" s="10"/>
      <c r="H32" s="10"/>
      <c r="I32" s="10"/>
      <c r="J32" s="10"/>
      <c r="K32" s="10"/>
      <c r="L32" s="10"/>
      <c r="M32" s="21" t="s">
        <v>79</v>
      </c>
      <c r="N32" s="2"/>
      <c r="O32" s="2"/>
      <c r="P32" s="2"/>
      <c r="Q32" s="2"/>
      <c r="R32" s="2"/>
      <c r="S32" s="2"/>
      <c r="T32" s="2"/>
      <c r="U32" s="2"/>
      <c r="V32" s="2"/>
      <c r="W32" s="2"/>
      <c r="X32" s="2"/>
      <c r="Y32" s="2"/>
      <c r="Z32" s="2"/>
    </row>
    <row r="33" spans="1:26" x14ac:dyDescent="0.2">
      <c r="A33" s="22" t="s">
        <v>80</v>
      </c>
      <c r="B33" s="23" t="s">
        <v>81</v>
      </c>
      <c r="C33" s="34"/>
      <c r="D33" s="34"/>
      <c r="E33" s="34"/>
      <c r="F33" s="34"/>
      <c r="G33" s="34"/>
      <c r="H33" s="34"/>
      <c r="I33" s="34"/>
      <c r="J33" s="34"/>
      <c r="K33" s="34"/>
      <c r="L33" s="34"/>
      <c r="M33" s="35"/>
      <c r="N33" s="10"/>
      <c r="O33" s="10"/>
      <c r="P33" s="10"/>
      <c r="Q33" s="10"/>
      <c r="R33" s="10"/>
      <c r="S33" s="10"/>
      <c r="T33" s="10"/>
      <c r="U33" s="10"/>
      <c r="V33" s="10"/>
      <c r="W33" s="3"/>
      <c r="X33" s="3"/>
      <c r="Y33" s="3"/>
      <c r="Z33" s="3"/>
    </row>
    <row r="34" spans="1:26" x14ac:dyDescent="0.2">
      <c r="A34" s="30"/>
      <c r="B34" s="19"/>
      <c r="C34" s="10"/>
      <c r="D34" s="10"/>
      <c r="E34" s="10"/>
      <c r="F34" s="10"/>
      <c r="G34" s="10"/>
      <c r="H34" s="10"/>
      <c r="I34" s="10"/>
      <c r="J34" s="10"/>
      <c r="K34" s="10"/>
      <c r="L34" s="10"/>
      <c r="M34" s="36"/>
      <c r="N34" s="10"/>
      <c r="O34" s="10"/>
      <c r="P34" s="10"/>
      <c r="Q34" s="10"/>
      <c r="R34" s="10"/>
      <c r="S34" s="10"/>
      <c r="T34" s="10"/>
      <c r="U34" s="10"/>
      <c r="V34" s="10"/>
      <c r="W34" s="3"/>
      <c r="X34" s="3"/>
      <c r="Y34" s="3"/>
      <c r="Z34" s="3"/>
    </row>
    <row r="35" spans="1:26" x14ac:dyDescent="0.2">
      <c r="A35" s="202" t="s">
        <v>82</v>
      </c>
      <c r="B35" s="203"/>
      <c r="C35" s="37"/>
      <c r="D35" s="37"/>
      <c r="E35" s="37"/>
      <c r="F35" s="37"/>
      <c r="G35" s="37"/>
      <c r="H35" s="37"/>
      <c r="I35" s="37"/>
      <c r="J35" s="37"/>
      <c r="K35" s="37"/>
      <c r="L35" s="37"/>
      <c r="M35" s="38"/>
      <c r="N35" s="2"/>
      <c r="O35" s="2"/>
      <c r="P35" s="2"/>
      <c r="Q35" s="2"/>
      <c r="R35" s="2"/>
      <c r="S35" s="2"/>
      <c r="T35" s="2"/>
      <c r="U35" s="2"/>
      <c r="V35" s="2"/>
      <c r="W35" s="2"/>
      <c r="X35" s="2"/>
      <c r="Y35" s="2"/>
      <c r="Z35" s="2"/>
    </row>
    <row r="36" spans="1:26" x14ac:dyDescent="0.2">
      <c r="A36" s="20" t="s">
        <v>83</v>
      </c>
      <c r="B36" s="19" t="s">
        <v>84</v>
      </c>
      <c r="C36" s="10"/>
      <c r="D36" s="10"/>
      <c r="E36" s="10"/>
      <c r="F36" s="10"/>
      <c r="G36" s="10"/>
      <c r="H36" s="10"/>
      <c r="I36" s="10"/>
      <c r="J36" s="10"/>
      <c r="K36" s="10"/>
      <c r="L36" s="10"/>
      <c r="M36" s="21" t="s">
        <v>85</v>
      </c>
      <c r="N36" s="2"/>
      <c r="O36" s="2"/>
      <c r="P36" s="2"/>
      <c r="Q36" s="2"/>
      <c r="R36" s="2"/>
      <c r="S36" s="2"/>
      <c r="T36" s="2"/>
      <c r="U36" s="2"/>
      <c r="V36" s="2"/>
      <c r="W36" s="2"/>
      <c r="X36" s="2"/>
      <c r="Y36" s="2"/>
      <c r="Z36" s="2"/>
    </row>
    <row r="37" spans="1:26" x14ac:dyDescent="0.2">
      <c r="A37" s="22" t="s">
        <v>86</v>
      </c>
      <c r="B37" s="23" t="s">
        <v>87</v>
      </c>
      <c r="C37" s="23"/>
      <c r="D37" s="23"/>
      <c r="E37" s="23"/>
      <c r="F37" s="23"/>
      <c r="G37" s="23"/>
      <c r="H37" s="23"/>
      <c r="I37" s="23"/>
      <c r="J37" s="23"/>
      <c r="K37" s="23"/>
      <c r="L37" s="23"/>
      <c r="M37" s="24" t="s">
        <v>88</v>
      </c>
      <c r="N37" s="2"/>
      <c r="O37" s="2"/>
      <c r="P37" s="2"/>
      <c r="Q37" s="2"/>
      <c r="R37" s="2"/>
      <c r="S37" s="2"/>
      <c r="T37" s="2"/>
      <c r="U37" s="2"/>
      <c r="V37" s="2"/>
      <c r="W37" s="2"/>
      <c r="X37" s="2"/>
      <c r="Y37" s="2"/>
      <c r="Z37" s="2"/>
    </row>
    <row r="38" spans="1:26" x14ac:dyDescent="0.2">
      <c r="A38" s="30"/>
      <c r="B38" s="19"/>
      <c r="C38" s="19"/>
      <c r="D38" s="19"/>
      <c r="E38" s="19"/>
      <c r="F38" s="19"/>
      <c r="G38" s="19"/>
      <c r="H38" s="19"/>
      <c r="I38" s="19"/>
      <c r="J38" s="19"/>
      <c r="K38" s="19"/>
      <c r="L38" s="19"/>
      <c r="M38" s="32"/>
      <c r="N38" s="2"/>
      <c r="O38" s="2"/>
      <c r="P38" s="2"/>
      <c r="Q38" s="2"/>
      <c r="R38" s="2"/>
      <c r="S38" s="2"/>
      <c r="T38" s="2"/>
      <c r="U38" s="2"/>
      <c r="V38" s="2"/>
      <c r="W38" s="2"/>
      <c r="X38" s="2"/>
      <c r="Y38" s="2"/>
      <c r="Z38" s="2"/>
    </row>
    <row r="39" spans="1:26" x14ac:dyDescent="0.2">
      <c r="A39" s="213" t="s">
        <v>89</v>
      </c>
      <c r="B39" s="214"/>
      <c r="C39" s="39"/>
      <c r="D39" s="39"/>
      <c r="E39" s="39"/>
      <c r="F39" s="39"/>
      <c r="G39" s="39"/>
      <c r="H39" s="39"/>
      <c r="I39" s="39"/>
      <c r="J39" s="39"/>
      <c r="K39" s="39"/>
      <c r="L39" s="39"/>
      <c r="M39" s="40"/>
      <c r="N39" s="41"/>
      <c r="O39" s="41"/>
      <c r="P39" s="41"/>
      <c r="Q39" s="41"/>
      <c r="R39" s="41"/>
      <c r="S39" s="41"/>
      <c r="T39" s="41"/>
      <c r="U39" s="41"/>
      <c r="V39" s="41"/>
      <c r="W39" s="41"/>
      <c r="X39" s="41"/>
      <c r="Y39" s="41"/>
      <c r="Z39" s="41"/>
    </row>
    <row r="40" spans="1:26" ht="21.6" x14ac:dyDescent="0.2">
      <c r="A40" s="42" t="s">
        <v>90</v>
      </c>
      <c r="B40" s="43" t="s">
        <v>91</v>
      </c>
      <c r="C40" s="44" t="s">
        <v>15</v>
      </c>
      <c r="D40" s="45" t="s">
        <v>16</v>
      </c>
      <c r="E40" s="45" t="s">
        <v>15</v>
      </c>
      <c r="F40" s="45" t="s">
        <v>15</v>
      </c>
      <c r="G40" s="45" t="s">
        <v>15</v>
      </c>
      <c r="H40" s="45" t="s">
        <v>15</v>
      </c>
      <c r="I40" s="45" t="s">
        <v>15</v>
      </c>
      <c r="J40" s="45" t="s">
        <v>15</v>
      </c>
      <c r="K40" s="45" t="s">
        <v>15</v>
      </c>
      <c r="L40" s="45" t="s">
        <v>15</v>
      </c>
      <c r="M40" s="46" t="s">
        <v>92</v>
      </c>
      <c r="N40" s="41"/>
      <c r="O40" s="41"/>
      <c r="P40" s="41"/>
      <c r="Q40" s="41"/>
      <c r="R40" s="41"/>
      <c r="S40" s="41"/>
      <c r="T40" s="41"/>
      <c r="U40" s="41"/>
      <c r="V40" s="41"/>
      <c r="W40" s="41"/>
      <c r="X40" s="41"/>
      <c r="Y40" s="41"/>
      <c r="Z40" s="41"/>
    </row>
    <row r="41" spans="1:26" x14ac:dyDescent="0.2">
      <c r="A41" s="42" t="s">
        <v>93</v>
      </c>
      <c r="B41" s="43" t="s">
        <v>94</v>
      </c>
      <c r="C41" s="47" t="s">
        <v>16</v>
      </c>
      <c r="D41" s="48" t="s">
        <v>16</v>
      </c>
      <c r="E41" s="48" t="s">
        <v>16</v>
      </c>
      <c r="F41" s="48" t="s">
        <v>16</v>
      </c>
      <c r="G41" s="48" t="s">
        <v>16</v>
      </c>
      <c r="H41" s="48" t="s">
        <v>16</v>
      </c>
      <c r="I41" s="48" t="s">
        <v>16</v>
      </c>
      <c r="J41" s="48" t="s">
        <v>16</v>
      </c>
      <c r="K41" s="48" t="s">
        <v>15</v>
      </c>
      <c r="L41" s="48" t="s">
        <v>15</v>
      </c>
      <c r="M41" s="46" t="s">
        <v>95</v>
      </c>
      <c r="N41" s="41"/>
      <c r="O41" s="41"/>
      <c r="P41" s="41"/>
      <c r="Q41" s="41"/>
      <c r="R41" s="41"/>
      <c r="S41" s="41"/>
      <c r="T41" s="41"/>
      <c r="U41" s="41"/>
      <c r="V41" s="41"/>
      <c r="W41" s="41"/>
      <c r="X41" s="41"/>
      <c r="Y41" s="41"/>
      <c r="Z41" s="41"/>
    </row>
    <row r="42" spans="1:26" x14ac:dyDescent="0.2">
      <c r="A42" s="42" t="s">
        <v>96</v>
      </c>
      <c r="B42" s="43" t="s">
        <v>97</v>
      </c>
      <c r="C42" s="47" t="s">
        <v>16</v>
      </c>
      <c r="D42" s="48" t="s">
        <v>16</v>
      </c>
      <c r="E42" s="48" t="s">
        <v>16</v>
      </c>
      <c r="F42" s="48" t="s">
        <v>16</v>
      </c>
      <c r="G42" s="48" t="s">
        <v>16</v>
      </c>
      <c r="H42" s="48" t="s">
        <v>16</v>
      </c>
      <c r="I42" s="48" t="s">
        <v>16</v>
      </c>
      <c r="J42" s="48" t="s">
        <v>16</v>
      </c>
      <c r="K42" s="48" t="s">
        <v>15</v>
      </c>
      <c r="L42" s="48" t="s">
        <v>15</v>
      </c>
      <c r="M42" s="46" t="s">
        <v>98</v>
      </c>
      <c r="N42" s="41"/>
      <c r="O42" s="41"/>
      <c r="P42" s="41"/>
      <c r="Q42" s="41"/>
      <c r="R42" s="41"/>
      <c r="S42" s="41"/>
      <c r="T42" s="41"/>
      <c r="U42" s="41"/>
      <c r="V42" s="41"/>
      <c r="W42" s="41"/>
      <c r="X42" s="41"/>
      <c r="Y42" s="41"/>
      <c r="Z42" s="41"/>
    </row>
    <row r="43" spans="1:26" x14ac:dyDescent="0.2">
      <c r="A43" s="49" t="s">
        <v>99</v>
      </c>
      <c r="B43" s="43" t="s">
        <v>100</v>
      </c>
      <c r="C43" s="47" t="s">
        <v>16</v>
      </c>
      <c r="D43" s="48" t="s">
        <v>16</v>
      </c>
      <c r="E43" s="48" t="s">
        <v>16</v>
      </c>
      <c r="F43" s="48" t="s">
        <v>16</v>
      </c>
      <c r="G43" s="48" t="s">
        <v>16</v>
      </c>
      <c r="H43" s="48" t="s">
        <v>16</v>
      </c>
      <c r="I43" s="48" t="s">
        <v>16</v>
      </c>
      <c r="J43" s="48" t="s">
        <v>16</v>
      </c>
      <c r="K43" s="48" t="s">
        <v>15</v>
      </c>
      <c r="L43" s="48" t="s">
        <v>15</v>
      </c>
      <c r="M43" s="46" t="s">
        <v>101</v>
      </c>
      <c r="N43" s="41"/>
      <c r="O43" s="41"/>
      <c r="P43" s="41"/>
      <c r="Q43" s="41"/>
      <c r="R43" s="41"/>
      <c r="S43" s="41"/>
      <c r="T43" s="41"/>
      <c r="U43" s="41"/>
      <c r="V43" s="41"/>
      <c r="W43" s="41"/>
      <c r="X43" s="41"/>
      <c r="Y43" s="41"/>
      <c r="Z43" s="41"/>
    </row>
    <row r="44" spans="1:26" ht="19.2" x14ac:dyDescent="0.2">
      <c r="A44" s="50" t="s">
        <v>102</v>
      </c>
      <c r="B44" s="51" t="s">
        <v>103</v>
      </c>
      <c r="C44" s="200" t="s">
        <v>104</v>
      </c>
      <c r="D44" s="200"/>
      <c r="E44" s="200"/>
      <c r="F44" s="200"/>
      <c r="G44" s="200"/>
      <c r="H44" s="200"/>
      <c r="I44" s="200"/>
      <c r="J44" s="200"/>
      <c r="K44" s="200"/>
      <c r="L44" s="200"/>
      <c r="M44" s="201"/>
      <c r="N44" s="41"/>
      <c r="O44" s="41"/>
      <c r="P44" s="41"/>
      <c r="Q44" s="41"/>
      <c r="R44" s="41"/>
      <c r="S44" s="41"/>
      <c r="T44" s="41"/>
      <c r="U44" s="41"/>
      <c r="V44" s="41"/>
      <c r="W44" s="41"/>
      <c r="X44" s="41"/>
      <c r="Y44" s="41"/>
      <c r="Z44" s="41"/>
    </row>
    <row r="45" spans="1:26"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
      <c r="A46" s="202" t="s">
        <v>105</v>
      </c>
      <c r="B46" s="203"/>
      <c r="C46" s="37"/>
      <c r="D46" s="37"/>
      <c r="E46" s="37"/>
      <c r="F46" s="37"/>
      <c r="G46" s="37"/>
      <c r="H46" s="37"/>
      <c r="I46" s="37"/>
      <c r="J46" s="37"/>
      <c r="K46" s="37"/>
      <c r="L46" s="37"/>
      <c r="M46" s="38"/>
      <c r="N46" s="2"/>
      <c r="O46" s="2"/>
      <c r="P46" s="2"/>
      <c r="Q46" s="2"/>
      <c r="R46" s="2"/>
      <c r="S46" s="2"/>
      <c r="T46" s="2"/>
      <c r="U46" s="2"/>
      <c r="V46" s="2"/>
      <c r="W46" s="2"/>
      <c r="X46" s="2"/>
      <c r="Y46" s="2"/>
      <c r="Z46" s="2"/>
    </row>
    <row r="47" spans="1:26" x14ac:dyDescent="0.2">
      <c r="A47" s="22"/>
      <c r="B47" s="23" t="s">
        <v>106</v>
      </c>
      <c r="C47" s="34"/>
      <c r="D47" s="34"/>
      <c r="E47" s="34"/>
      <c r="F47" s="34"/>
      <c r="G47" s="34"/>
      <c r="H47" s="34"/>
      <c r="I47" s="34"/>
      <c r="J47" s="34"/>
      <c r="K47" s="34"/>
      <c r="L47" s="34"/>
      <c r="M47" s="24" t="s">
        <v>107</v>
      </c>
      <c r="N47" s="2"/>
      <c r="O47" s="2"/>
      <c r="P47" s="2"/>
      <c r="Q47" s="2"/>
      <c r="R47" s="2"/>
      <c r="S47" s="2"/>
      <c r="T47" s="2"/>
      <c r="U47" s="2"/>
      <c r="V47" s="2"/>
      <c r="W47" s="2"/>
      <c r="X47" s="2"/>
      <c r="Y47" s="2"/>
      <c r="Z47" s="2"/>
    </row>
    <row r="48" spans="1:26" ht="1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customHeight="1" x14ac:dyDescent="0.2">
      <c r="A49" s="211" t="s">
        <v>108</v>
      </c>
      <c r="B49" s="212"/>
      <c r="C49" s="52"/>
      <c r="D49" s="52"/>
      <c r="E49" s="52"/>
      <c r="F49" s="52"/>
      <c r="G49" s="52"/>
      <c r="H49" s="52"/>
      <c r="I49" s="52"/>
      <c r="J49" s="52"/>
      <c r="K49" s="52"/>
      <c r="L49" s="52"/>
      <c r="M49" s="53"/>
      <c r="N49" s="2"/>
      <c r="O49" s="2"/>
      <c r="P49" s="2"/>
      <c r="Q49" s="2"/>
      <c r="R49" s="2"/>
      <c r="S49" s="2"/>
      <c r="T49" s="2"/>
      <c r="U49" s="2"/>
      <c r="V49" s="2"/>
      <c r="W49" s="2"/>
      <c r="X49" s="2"/>
      <c r="Y49" s="2"/>
      <c r="Z49" s="2"/>
    </row>
    <row r="50" spans="1:26" ht="15" customHeight="1" x14ac:dyDescent="0.2">
      <c r="A50" s="54"/>
      <c r="B50" s="2" t="s">
        <v>109</v>
      </c>
      <c r="C50" s="55" t="s">
        <v>15</v>
      </c>
      <c r="D50" s="56" t="s">
        <v>15</v>
      </c>
      <c r="E50" s="56" t="s">
        <v>15</v>
      </c>
      <c r="F50" s="56" t="s">
        <v>35</v>
      </c>
      <c r="G50" s="56" t="s">
        <v>15</v>
      </c>
      <c r="H50" s="56" t="s">
        <v>35</v>
      </c>
      <c r="I50" s="56" t="s">
        <v>15</v>
      </c>
      <c r="J50" s="56" t="s">
        <v>35</v>
      </c>
      <c r="K50" s="45" t="s">
        <v>16</v>
      </c>
      <c r="L50" s="45" t="s">
        <v>16</v>
      </c>
      <c r="M50" s="57"/>
      <c r="N50" s="2"/>
      <c r="O50" s="2"/>
      <c r="P50" s="2"/>
      <c r="Q50" s="2"/>
      <c r="R50" s="2"/>
      <c r="S50" s="2"/>
      <c r="T50" s="2"/>
      <c r="U50" s="2"/>
      <c r="V50" s="2"/>
      <c r="W50" s="2"/>
      <c r="X50" s="2"/>
      <c r="Y50" s="2"/>
      <c r="Z50" s="2"/>
    </row>
    <row r="51" spans="1:26" ht="15" customHeight="1" x14ac:dyDescent="0.2">
      <c r="A51" s="54"/>
      <c r="B51" s="2" t="s">
        <v>110</v>
      </c>
      <c r="C51" s="47" t="s">
        <v>16</v>
      </c>
      <c r="D51" s="48" t="s">
        <v>16</v>
      </c>
      <c r="E51" s="48" t="s">
        <v>16</v>
      </c>
      <c r="F51" s="48" t="s">
        <v>16</v>
      </c>
      <c r="G51" s="48" t="s">
        <v>16</v>
      </c>
      <c r="H51" s="48" t="s">
        <v>16</v>
      </c>
      <c r="I51" s="48" t="s">
        <v>16</v>
      </c>
      <c r="J51" s="48" t="s">
        <v>16</v>
      </c>
      <c r="K51" s="58" t="s">
        <v>15</v>
      </c>
      <c r="L51" s="58" t="s">
        <v>15</v>
      </c>
      <c r="M51" s="59" t="s">
        <v>111</v>
      </c>
      <c r="N51" s="2"/>
      <c r="O51" s="2"/>
      <c r="P51" s="2"/>
      <c r="Q51" s="2"/>
      <c r="R51" s="2"/>
      <c r="S51" s="2"/>
      <c r="T51" s="2"/>
      <c r="U51" s="2"/>
      <c r="V51" s="2"/>
      <c r="W51" s="2"/>
      <c r="X51" s="2"/>
      <c r="Y51" s="2"/>
      <c r="Z51" s="2"/>
    </row>
    <row r="52" spans="1:26" ht="15" customHeight="1" x14ac:dyDescent="0.2">
      <c r="A52" s="60"/>
      <c r="B52" s="61" t="s">
        <v>112</v>
      </c>
      <c r="C52" s="47" t="s">
        <v>16</v>
      </c>
      <c r="D52" s="48" t="s">
        <v>16</v>
      </c>
      <c r="E52" s="48" t="s">
        <v>16</v>
      </c>
      <c r="F52" s="48" t="s">
        <v>16</v>
      </c>
      <c r="G52" s="48" t="s">
        <v>16</v>
      </c>
      <c r="H52" s="48" t="s">
        <v>16</v>
      </c>
      <c r="I52" s="48" t="s">
        <v>16</v>
      </c>
      <c r="J52" s="48" t="s">
        <v>16</v>
      </c>
      <c r="K52" s="58" t="s">
        <v>15</v>
      </c>
      <c r="L52" s="58" t="s">
        <v>15</v>
      </c>
      <c r="M52" s="62" t="s">
        <v>113</v>
      </c>
      <c r="N52" s="2"/>
      <c r="O52" s="2"/>
      <c r="P52" s="2"/>
      <c r="Q52" s="2"/>
      <c r="R52" s="2"/>
      <c r="S52" s="2"/>
      <c r="T52" s="2"/>
      <c r="U52" s="2"/>
      <c r="V52" s="2"/>
      <c r="W52" s="2"/>
      <c r="X52" s="2"/>
      <c r="Y52" s="2"/>
      <c r="Z52" s="2"/>
    </row>
    <row r="53" spans="1:26" ht="15" customHeight="1" x14ac:dyDescent="0.2">
      <c r="A53" s="2"/>
      <c r="B53" s="2"/>
      <c r="C53" s="63"/>
      <c r="D53" s="63"/>
      <c r="E53" s="63"/>
      <c r="F53" s="63"/>
      <c r="G53" s="63"/>
      <c r="H53" s="63"/>
      <c r="I53" s="63"/>
      <c r="J53" s="63"/>
      <c r="K53" s="63"/>
      <c r="L53" s="63"/>
      <c r="M53" s="2"/>
      <c r="N53" s="2"/>
      <c r="O53" s="2"/>
      <c r="P53" s="2"/>
      <c r="Q53" s="2"/>
      <c r="R53" s="2"/>
      <c r="S53" s="2"/>
      <c r="T53" s="2"/>
      <c r="U53" s="2"/>
      <c r="V53" s="2"/>
      <c r="W53" s="2"/>
      <c r="X53" s="2"/>
      <c r="Y53" s="2"/>
      <c r="Z53" s="2"/>
    </row>
    <row r="54" spans="1:26" ht="1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22.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22.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33.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33.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7.2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33.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sheetData>
  <mergeCells count="14">
    <mergeCell ref="A49:B49"/>
    <mergeCell ref="A24:B24"/>
    <mergeCell ref="A29:B29"/>
    <mergeCell ref="A35:B35"/>
    <mergeCell ref="A39:B39"/>
    <mergeCell ref="C44:M44"/>
    <mergeCell ref="A46:B46"/>
    <mergeCell ref="A1:M1"/>
    <mergeCell ref="A4:B5"/>
    <mergeCell ref="C4:D4"/>
    <mergeCell ref="E4:F4"/>
    <mergeCell ref="G4:H4"/>
    <mergeCell ref="I4:J4"/>
    <mergeCell ref="K4:L4"/>
  </mergeCells>
  <phoneticPr fontId="18"/>
  <hyperlinks>
    <hyperlink ref="A40" location="財審様式!A1" display="財審様式!A1" xr:uid="{00000000-0004-0000-0000-000000000000}"/>
    <hyperlink ref="A41" location="財審様式!A1" display="財審様式!A1" xr:uid="{00000000-0004-0000-0000-000001000000}"/>
    <hyperlink ref="A42" location="財審様式!A1" display="財審様式!A1" xr:uid="{00000000-0004-0000-0000-000002000000}"/>
    <hyperlink ref="A44" location="財審様式!A1" display="財審様式!A1" xr:uid="{00000000-0004-0000-0000-000003000000}"/>
  </hyperlinks>
  <printOptions horizontalCentered="1"/>
  <pageMargins left="0.24" right="0.24" top="0.75" bottom="0.75" header="0.31" footer="0.3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0"/>
  <sheetViews>
    <sheetView showGridLines="0" topLeftCell="A5" workbookViewId="0">
      <selection activeCell="G20" sqref="G20"/>
    </sheetView>
  </sheetViews>
  <sheetFormatPr defaultColWidth="8.77734375" defaultRowHeight="13.2" x14ac:dyDescent="0.2"/>
  <cols>
    <col min="1" max="1" width="1.88671875" style="64" customWidth="1"/>
    <col min="2" max="2" width="6.88671875" style="64" customWidth="1"/>
    <col min="3" max="3" width="5.88671875" style="64" customWidth="1"/>
    <col min="4" max="4" width="4.88671875" style="64" bestFit="1" customWidth="1"/>
    <col min="5" max="5" width="3.6640625" style="64" customWidth="1"/>
    <col min="6" max="6" width="6.109375" style="64" customWidth="1"/>
    <col min="7" max="7" width="3.6640625" style="64" customWidth="1"/>
    <col min="8" max="8" width="5.44140625" style="64" customWidth="1"/>
    <col min="9" max="9" width="3.6640625" style="64" customWidth="1"/>
    <col min="10" max="10" width="5.6640625" style="64" customWidth="1"/>
    <col min="11" max="11" width="49" style="64" customWidth="1"/>
    <col min="12" max="12" width="22" style="64" customWidth="1"/>
    <col min="13" max="13" width="20.109375" style="64" customWidth="1"/>
    <col min="14" max="14" width="25.44140625" style="64" customWidth="1"/>
    <col min="15" max="15" width="2" style="64" customWidth="1"/>
    <col min="16" max="20" width="3.6640625" style="64" customWidth="1"/>
    <col min="21" max="16384" width="8.77734375" style="64"/>
  </cols>
  <sheetData>
    <row r="1" spans="1:14" ht="15" customHeight="1" x14ac:dyDescent="0.2">
      <c r="A1" s="65"/>
      <c r="B1" s="65"/>
      <c r="C1" s="65"/>
      <c r="D1" s="65"/>
      <c r="E1" s="65"/>
      <c r="F1" s="65"/>
      <c r="G1" s="65"/>
      <c r="H1" s="65"/>
      <c r="I1" s="65"/>
      <c r="J1" s="65"/>
      <c r="K1" s="65"/>
      <c r="L1" s="65"/>
      <c r="M1" s="65"/>
      <c r="N1" s="66" t="s">
        <v>114</v>
      </c>
    </row>
    <row r="2" spans="1:14" ht="15" customHeight="1" x14ac:dyDescent="0.2">
      <c r="A2" s="65"/>
      <c r="B2" s="65"/>
      <c r="C2" s="65"/>
      <c r="D2" s="65"/>
      <c r="E2" s="65"/>
      <c r="F2" s="65"/>
      <c r="G2" s="65"/>
      <c r="H2" s="65"/>
      <c r="I2" s="65"/>
      <c r="J2" s="65"/>
      <c r="K2" s="65"/>
      <c r="L2" s="65"/>
      <c r="M2" s="65"/>
      <c r="N2" s="67">
        <v>44537</v>
      </c>
    </row>
    <row r="3" spans="1:14" ht="15" customHeight="1" x14ac:dyDescent="0.2">
      <c r="A3" s="65"/>
      <c r="B3" s="65"/>
      <c r="C3" s="65"/>
      <c r="D3" s="65"/>
      <c r="E3" s="65"/>
      <c r="F3" s="65"/>
      <c r="G3" s="65"/>
      <c r="H3" s="65"/>
      <c r="I3" s="65"/>
      <c r="J3" s="65"/>
      <c r="K3" s="65"/>
      <c r="L3" s="65"/>
      <c r="M3" s="65"/>
      <c r="N3" s="66" t="s">
        <v>179</v>
      </c>
    </row>
    <row r="4" spans="1:14" ht="15" customHeight="1" x14ac:dyDescent="0.2">
      <c r="A4" s="65"/>
      <c r="B4" s="221" t="s">
        <v>115</v>
      </c>
      <c r="C4" s="221"/>
      <c r="D4" s="221"/>
      <c r="E4" s="221"/>
      <c r="F4" s="221"/>
      <c r="G4" s="221"/>
      <c r="H4" s="221"/>
      <c r="I4" s="69"/>
      <c r="J4" s="65"/>
      <c r="K4" s="65"/>
      <c r="L4" s="65"/>
      <c r="M4" s="65"/>
      <c r="N4" s="65"/>
    </row>
    <row r="5" spans="1:14" ht="5.25" customHeight="1" x14ac:dyDescent="0.2">
      <c r="A5" s="65"/>
      <c r="B5" s="68"/>
      <c r="C5" s="68"/>
      <c r="D5" s="68"/>
      <c r="E5" s="68"/>
      <c r="F5" s="68"/>
      <c r="G5" s="68"/>
      <c r="H5" s="68"/>
      <c r="I5" s="69"/>
      <c r="J5" s="65"/>
      <c r="K5" s="65"/>
      <c r="L5" s="65"/>
      <c r="M5" s="65"/>
      <c r="N5" s="65"/>
    </row>
    <row r="6" spans="1:14" ht="3.75" customHeight="1" x14ac:dyDescent="0.2">
      <c r="A6" s="65"/>
      <c r="B6" s="68"/>
      <c r="C6" s="68"/>
      <c r="D6" s="68"/>
      <c r="E6" s="68"/>
      <c r="F6" s="68"/>
      <c r="G6" s="68"/>
      <c r="H6" s="68"/>
      <c r="I6" s="69"/>
      <c r="J6" s="65"/>
      <c r="K6" s="65"/>
      <c r="L6" s="65"/>
      <c r="M6" s="65"/>
      <c r="N6" s="65"/>
    </row>
    <row r="7" spans="1:14" ht="18" customHeight="1" x14ac:dyDescent="0.2">
      <c r="A7" s="65"/>
      <c r="B7" s="69" t="s">
        <v>116</v>
      </c>
      <c r="C7" s="69"/>
      <c r="D7" s="69"/>
      <c r="E7" s="69"/>
      <c r="F7" s="69"/>
      <c r="G7" s="69"/>
      <c r="H7" s="69"/>
      <c r="I7" s="69"/>
      <c r="J7" s="69" t="s">
        <v>117</v>
      </c>
      <c r="K7" s="65"/>
      <c r="L7" s="65"/>
      <c r="M7" s="65"/>
      <c r="N7" s="65"/>
    </row>
    <row r="8" spans="1:14" ht="15" customHeight="1" x14ac:dyDescent="0.2">
      <c r="A8" s="65"/>
      <c r="B8" s="65"/>
      <c r="C8" s="65"/>
      <c r="D8" s="65"/>
      <c r="E8" s="65"/>
      <c r="F8" s="65"/>
      <c r="G8" s="65"/>
      <c r="H8" s="65"/>
      <c r="I8" s="65"/>
      <c r="J8" s="65"/>
      <c r="K8" s="65"/>
      <c r="L8" s="65"/>
      <c r="M8" s="221" t="s">
        <v>115</v>
      </c>
      <c r="N8" s="221"/>
    </row>
    <row r="9" spans="1:14" ht="33" customHeight="1" x14ac:dyDescent="0.2">
      <c r="A9" s="65"/>
      <c r="B9" s="65"/>
      <c r="C9" s="65"/>
      <c r="D9" s="65"/>
      <c r="E9" s="65"/>
      <c r="F9" s="65"/>
      <c r="G9" s="65"/>
      <c r="H9" s="65"/>
      <c r="I9" s="65"/>
      <c r="J9" s="65"/>
      <c r="K9" s="65"/>
      <c r="L9" s="65"/>
      <c r="M9" s="221" t="s">
        <v>118</v>
      </c>
      <c r="N9" s="221"/>
    </row>
    <row r="10" spans="1:14" ht="18" customHeight="1" x14ac:dyDescent="0.2">
      <c r="A10" s="65"/>
      <c r="B10" s="65"/>
      <c r="C10" s="65"/>
      <c r="D10" s="65"/>
      <c r="E10" s="65"/>
      <c r="F10" s="65"/>
      <c r="G10" s="65"/>
      <c r="H10" s="65"/>
      <c r="I10" s="65"/>
      <c r="J10" s="65"/>
      <c r="K10" s="65"/>
      <c r="L10" s="69"/>
      <c r="M10" s="68" t="s">
        <v>119</v>
      </c>
      <c r="N10" s="66" t="s">
        <v>120</v>
      </c>
    </row>
    <row r="11" spans="1:14" ht="15" customHeight="1" x14ac:dyDescent="0.2">
      <c r="A11" s="65"/>
      <c r="B11" s="65"/>
      <c r="C11" s="65"/>
      <c r="D11" s="65"/>
      <c r="E11" s="65"/>
      <c r="F11" s="65"/>
      <c r="G11" s="65"/>
      <c r="H11" s="65"/>
      <c r="I11" s="65"/>
      <c r="J11" s="65"/>
      <c r="K11" s="65"/>
      <c r="L11" s="65"/>
      <c r="M11" s="65"/>
      <c r="N11" s="65"/>
    </row>
    <row r="12" spans="1:14" ht="29.25" customHeight="1" thickBot="1" x14ac:dyDescent="0.25">
      <c r="A12" s="65"/>
      <c r="B12" s="65"/>
      <c r="C12" s="65"/>
      <c r="D12" s="65"/>
      <c r="E12" s="65"/>
      <c r="F12" s="65"/>
      <c r="G12" s="65"/>
      <c r="H12" s="65"/>
      <c r="I12" s="65"/>
      <c r="J12" s="222" t="s">
        <v>121</v>
      </c>
      <c r="K12" s="222"/>
      <c r="L12" s="222"/>
      <c r="M12" s="70"/>
      <c r="N12" s="71"/>
    </row>
    <row r="13" spans="1:14" ht="31.5" customHeight="1" thickBot="1" x14ac:dyDescent="0.25">
      <c r="A13" s="65"/>
      <c r="B13" s="222" t="s">
        <v>122</v>
      </c>
      <c r="C13" s="222"/>
      <c r="D13" s="222"/>
      <c r="E13" s="222"/>
      <c r="F13" s="222"/>
      <c r="G13" s="222"/>
      <c r="H13" s="222"/>
      <c r="I13" s="223"/>
      <c r="J13" s="72" t="s">
        <v>123</v>
      </c>
      <c r="K13" s="73">
        <v>300000</v>
      </c>
      <c r="L13" s="74"/>
      <c r="M13" s="75"/>
      <c r="N13" s="76"/>
    </row>
    <row r="14" spans="1:14" ht="31.5" customHeight="1" thickTop="1" thickBot="1" x14ac:dyDescent="0.25">
      <c r="A14" s="65"/>
      <c r="B14" s="222" t="s">
        <v>124</v>
      </c>
      <c r="C14" s="222"/>
      <c r="D14" s="222"/>
      <c r="E14" s="222"/>
      <c r="F14" s="222"/>
      <c r="G14" s="222"/>
      <c r="H14" s="222"/>
      <c r="I14" s="224"/>
      <c r="J14" s="77" t="s">
        <v>123</v>
      </c>
      <c r="K14" s="78">
        <v>300000</v>
      </c>
      <c r="L14" s="74"/>
      <c r="M14" s="75"/>
      <c r="N14" s="76"/>
    </row>
    <row r="15" spans="1:14" ht="25.5" customHeight="1" thickTop="1" thickBot="1" x14ac:dyDescent="0.25">
      <c r="A15" s="65"/>
      <c r="B15" s="65"/>
      <c r="C15" s="65"/>
      <c r="D15" s="65"/>
      <c r="E15" s="65"/>
      <c r="F15" s="65"/>
      <c r="G15" s="65"/>
      <c r="H15" s="65"/>
      <c r="I15" s="65"/>
      <c r="J15" s="225" t="s">
        <v>125</v>
      </c>
      <c r="K15" s="225"/>
      <c r="L15" s="65"/>
      <c r="M15" s="65"/>
      <c r="N15" s="65"/>
    </row>
    <row r="16" spans="1:14" ht="42.75" customHeight="1" thickTop="1" x14ac:dyDescent="0.2">
      <c r="A16" s="65"/>
      <c r="B16" s="215" t="s">
        <v>126</v>
      </c>
      <c r="C16" s="216"/>
      <c r="D16" s="216"/>
      <c r="E16" s="217"/>
      <c r="F16" s="226" t="s">
        <v>127</v>
      </c>
      <c r="G16" s="227"/>
      <c r="H16" s="227"/>
      <c r="I16" s="228"/>
      <c r="J16" s="229" t="s">
        <v>128</v>
      </c>
      <c r="K16" s="230"/>
      <c r="L16" s="79" t="s">
        <v>129</v>
      </c>
      <c r="M16" s="80" t="s">
        <v>130</v>
      </c>
      <c r="N16" s="81" t="s">
        <v>131</v>
      </c>
    </row>
    <row r="17" spans="1:14" ht="30" customHeight="1" x14ac:dyDescent="0.2">
      <c r="A17" s="65"/>
      <c r="B17" s="82">
        <v>1</v>
      </c>
      <c r="C17" s="83" t="s">
        <v>132</v>
      </c>
      <c r="D17" s="84">
        <v>17</v>
      </c>
      <c r="E17" s="85" t="s">
        <v>133</v>
      </c>
      <c r="F17" s="86">
        <v>1</v>
      </c>
      <c r="G17" s="83" t="s">
        <v>132</v>
      </c>
      <c r="H17" s="84">
        <v>17</v>
      </c>
      <c r="I17" s="85" t="s">
        <v>133</v>
      </c>
      <c r="J17" s="231" t="s">
        <v>134</v>
      </c>
      <c r="K17" s="232"/>
      <c r="L17" s="87">
        <v>144000</v>
      </c>
      <c r="M17" s="88"/>
      <c r="N17" s="89">
        <f>$L$17</f>
        <v>144000</v>
      </c>
    </row>
    <row r="18" spans="1:14" ht="30" customHeight="1" thickBot="1" x14ac:dyDescent="0.25">
      <c r="A18" s="65"/>
      <c r="B18" s="215"/>
      <c r="C18" s="216"/>
      <c r="D18" s="216"/>
      <c r="E18" s="217"/>
      <c r="F18" s="218" t="s">
        <v>135</v>
      </c>
      <c r="G18" s="216"/>
      <c r="H18" s="216"/>
      <c r="I18" s="217"/>
      <c r="J18" s="219"/>
      <c r="K18" s="220"/>
      <c r="L18" s="90">
        <v>144000</v>
      </c>
      <c r="M18" s="88">
        <v>0</v>
      </c>
      <c r="N18" s="89">
        <f>$L$17</f>
        <v>144000</v>
      </c>
    </row>
    <row r="19" spans="1:14" ht="15" customHeight="1" thickTop="1" x14ac:dyDescent="0.2">
      <c r="A19" s="65"/>
      <c r="B19" s="65"/>
      <c r="C19" s="65"/>
      <c r="D19" s="65"/>
      <c r="E19" s="65"/>
      <c r="F19" s="65"/>
      <c r="G19" s="65"/>
      <c r="H19" s="65"/>
      <c r="I19" s="65"/>
      <c r="J19" s="65"/>
      <c r="K19" s="65"/>
      <c r="L19" s="65"/>
      <c r="M19" s="65"/>
      <c r="N19" s="65"/>
    </row>
    <row r="20" spans="1:14" ht="15" customHeight="1" x14ac:dyDescent="0.2">
      <c r="A20" s="65"/>
      <c r="B20" s="65"/>
      <c r="C20" s="65"/>
      <c r="D20" s="65"/>
      <c r="E20" s="65"/>
      <c r="F20" s="65"/>
      <c r="G20" s="65"/>
      <c r="H20" s="65"/>
      <c r="I20" s="65"/>
      <c r="J20" s="65"/>
      <c r="K20" s="65"/>
      <c r="L20" s="65"/>
      <c r="M20" s="65"/>
      <c r="N20" s="65"/>
    </row>
    <row r="21" spans="1:14" ht="15" customHeight="1" x14ac:dyDescent="0.2">
      <c r="A21" s="65"/>
      <c r="B21" s="65"/>
      <c r="C21" s="65"/>
      <c r="D21" s="65"/>
      <c r="E21" s="65"/>
      <c r="F21" s="65"/>
      <c r="G21" s="65"/>
      <c r="H21" s="65"/>
      <c r="I21" s="65"/>
      <c r="J21" s="65"/>
      <c r="K21" s="65"/>
      <c r="L21" s="65"/>
      <c r="M21" s="65"/>
      <c r="N21" s="65"/>
    </row>
    <row r="22" spans="1:14" ht="15" customHeight="1" x14ac:dyDescent="0.2">
      <c r="A22" s="65"/>
      <c r="B22" s="65"/>
      <c r="C22" s="65"/>
      <c r="D22" s="65"/>
      <c r="E22" s="65"/>
      <c r="F22" s="65"/>
      <c r="G22" s="65"/>
      <c r="H22" s="65"/>
      <c r="I22" s="65"/>
      <c r="J22" s="65"/>
      <c r="K22" s="65"/>
      <c r="L22" s="65"/>
      <c r="M22" s="65"/>
      <c r="N22" s="65"/>
    </row>
    <row r="23" spans="1:14" ht="15" customHeight="1" x14ac:dyDescent="0.2">
      <c r="A23" s="65"/>
      <c r="B23" s="65"/>
      <c r="C23" s="65"/>
      <c r="D23" s="65"/>
      <c r="E23" s="65"/>
      <c r="F23" s="65"/>
      <c r="G23" s="65"/>
      <c r="H23" s="65"/>
      <c r="I23" s="65"/>
      <c r="J23" s="65"/>
      <c r="K23" s="65"/>
      <c r="L23" s="65"/>
      <c r="M23" s="65"/>
      <c r="N23" s="65"/>
    </row>
    <row r="24" spans="1:14" ht="15" customHeight="1" x14ac:dyDescent="0.2">
      <c r="A24" s="65"/>
      <c r="B24" s="65"/>
      <c r="C24" s="65"/>
      <c r="D24" s="65"/>
      <c r="E24" s="65"/>
      <c r="F24" s="65"/>
      <c r="G24" s="65"/>
      <c r="H24" s="65"/>
      <c r="I24" s="65"/>
      <c r="J24" s="65"/>
      <c r="K24" s="65"/>
      <c r="L24" s="65"/>
      <c r="M24" s="65"/>
      <c r="N24" s="65"/>
    </row>
    <row r="25" spans="1:14" ht="15" customHeight="1" x14ac:dyDescent="0.2">
      <c r="A25" s="65"/>
      <c r="B25" s="65"/>
      <c r="C25" s="65"/>
      <c r="D25" s="65"/>
      <c r="E25" s="65"/>
      <c r="F25" s="65"/>
      <c r="G25" s="65"/>
      <c r="H25" s="65"/>
      <c r="I25" s="65"/>
      <c r="J25" s="65"/>
      <c r="K25" s="65"/>
      <c r="L25" s="65"/>
      <c r="M25" s="65"/>
      <c r="N25" s="65"/>
    </row>
    <row r="26" spans="1:14" ht="15" customHeight="1" x14ac:dyDescent="0.2">
      <c r="A26" s="65"/>
      <c r="B26" s="65"/>
      <c r="C26" s="65"/>
      <c r="D26" s="65"/>
      <c r="E26" s="65"/>
      <c r="F26" s="65"/>
      <c r="G26" s="65"/>
      <c r="H26" s="65"/>
      <c r="I26" s="65"/>
      <c r="J26" s="65"/>
      <c r="K26" s="65"/>
      <c r="L26" s="65"/>
      <c r="M26" s="65"/>
      <c r="N26" s="65"/>
    </row>
    <row r="27" spans="1:14" ht="15" customHeight="1" x14ac:dyDescent="0.2">
      <c r="A27" s="65"/>
      <c r="B27" s="65"/>
      <c r="C27" s="65"/>
      <c r="D27" s="65"/>
      <c r="E27" s="65"/>
      <c r="F27" s="65"/>
      <c r="G27" s="65"/>
      <c r="H27" s="65"/>
      <c r="I27" s="65"/>
      <c r="J27" s="65"/>
      <c r="K27" s="65"/>
      <c r="L27" s="65"/>
      <c r="M27" s="65"/>
      <c r="N27" s="65"/>
    </row>
    <row r="28" spans="1:14" ht="15" customHeight="1" x14ac:dyDescent="0.2">
      <c r="A28" s="65"/>
      <c r="B28" s="65"/>
      <c r="C28" s="65"/>
      <c r="D28" s="65"/>
      <c r="E28" s="65"/>
      <c r="F28" s="65"/>
      <c r="G28" s="65"/>
      <c r="H28" s="65"/>
      <c r="I28" s="65"/>
      <c r="J28" s="65"/>
      <c r="K28" s="65"/>
      <c r="L28" s="65"/>
      <c r="M28" s="65"/>
      <c r="N28" s="65"/>
    </row>
    <row r="29" spans="1:14" ht="15" customHeight="1" x14ac:dyDescent="0.2">
      <c r="A29" s="65"/>
      <c r="B29" s="65"/>
      <c r="C29" s="65"/>
      <c r="D29" s="65"/>
      <c r="E29" s="65"/>
      <c r="F29" s="65"/>
      <c r="G29" s="65"/>
      <c r="H29" s="65"/>
      <c r="I29" s="65"/>
      <c r="J29" s="65"/>
      <c r="K29" s="65"/>
      <c r="L29" s="65"/>
      <c r="M29" s="65"/>
      <c r="N29" s="65"/>
    </row>
    <row r="30" spans="1:14" ht="15" customHeight="1" x14ac:dyDescent="0.2">
      <c r="A30" s="65"/>
      <c r="B30" s="65"/>
      <c r="C30" s="65"/>
      <c r="D30" s="65"/>
      <c r="E30" s="65"/>
      <c r="F30" s="65"/>
      <c r="G30" s="65"/>
      <c r="H30" s="65"/>
      <c r="I30" s="65"/>
      <c r="J30" s="65"/>
      <c r="K30" s="65"/>
      <c r="L30" s="65"/>
      <c r="M30" s="65"/>
      <c r="N30" s="65"/>
    </row>
  </sheetData>
  <mergeCells count="14">
    <mergeCell ref="B18:E18"/>
    <mergeCell ref="F18:I18"/>
    <mergeCell ref="J18:K18"/>
    <mergeCell ref="B4:H4"/>
    <mergeCell ref="M8:N8"/>
    <mergeCell ref="M9:N9"/>
    <mergeCell ref="J12:L12"/>
    <mergeCell ref="B13:I13"/>
    <mergeCell ref="B14:I14"/>
    <mergeCell ref="J15:K15"/>
    <mergeCell ref="B16:E16"/>
    <mergeCell ref="F16:I16"/>
    <mergeCell ref="J16:K16"/>
    <mergeCell ref="J17:K17"/>
  </mergeCells>
  <phoneticPr fontId="18"/>
  <pageMargins left="0" right="0" top="0.59" bottom="0.63" header="0.51" footer="0.51"/>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showGridLines="0" tabSelected="1" workbookViewId="0">
      <selection activeCell="G25" sqref="G25"/>
    </sheetView>
  </sheetViews>
  <sheetFormatPr defaultRowHeight="13.2" x14ac:dyDescent="0.2"/>
  <cols>
    <col min="1" max="1" width="9.109375" customWidth="1"/>
    <col min="2" max="2" width="27.6640625" customWidth="1"/>
    <col min="3" max="3" width="23.109375" customWidth="1"/>
    <col min="4" max="4" width="23.88671875" customWidth="1"/>
    <col min="5" max="5" width="15.77734375" bestFit="1" customWidth="1"/>
    <col min="6" max="6" width="6.44140625" customWidth="1"/>
    <col min="7" max="7" width="22.88671875" customWidth="1"/>
    <col min="8" max="8" width="13.88671875" customWidth="1"/>
  </cols>
  <sheetData>
    <row r="1" spans="1:8" x14ac:dyDescent="0.2">
      <c r="A1" s="91"/>
      <c r="B1" s="91"/>
      <c r="C1" s="91"/>
      <c r="D1" s="91"/>
      <c r="E1" s="91"/>
      <c r="F1" s="91"/>
      <c r="G1" s="91"/>
      <c r="H1" s="96" t="s">
        <v>149</v>
      </c>
    </row>
    <row r="2" spans="1:8" ht="16.2" x14ac:dyDescent="0.2">
      <c r="A2" s="91"/>
      <c r="B2" s="97" t="s">
        <v>30</v>
      </c>
      <c r="C2" s="97"/>
      <c r="D2" s="97"/>
      <c r="E2" s="97"/>
      <c r="F2" s="97"/>
      <c r="G2" s="97"/>
      <c r="H2" s="97"/>
    </row>
    <row r="3" spans="1:8" x14ac:dyDescent="0.2">
      <c r="A3" s="91"/>
      <c r="B3" s="98" t="s">
        <v>150</v>
      </c>
      <c r="C3" s="98"/>
      <c r="D3" s="98"/>
      <c r="E3" s="98"/>
      <c r="F3" s="98"/>
      <c r="G3" s="98"/>
      <c r="H3" s="98"/>
    </row>
    <row r="4" spans="1:8" ht="13.8" thickBot="1" x14ac:dyDescent="0.25">
      <c r="A4" s="91"/>
      <c r="B4" s="91"/>
      <c r="C4" s="91"/>
      <c r="D4" s="91"/>
      <c r="E4" s="91"/>
      <c r="F4" s="91"/>
      <c r="G4" s="91"/>
      <c r="H4" s="91"/>
    </row>
    <row r="5" spans="1:8" x14ac:dyDescent="0.2">
      <c r="A5" s="233" t="s">
        <v>151</v>
      </c>
      <c r="B5" s="234"/>
      <c r="C5" s="234"/>
      <c r="D5" s="234"/>
      <c r="E5" s="235"/>
      <c r="F5" s="236" t="s">
        <v>152</v>
      </c>
      <c r="G5" s="234"/>
      <c r="H5" s="237"/>
    </row>
    <row r="6" spans="1:8" ht="13.8" thickBot="1" x14ac:dyDescent="0.25">
      <c r="A6" s="99" t="s">
        <v>153</v>
      </c>
      <c r="B6" s="100" t="s">
        <v>154</v>
      </c>
      <c r="C6" s="100" t="s">
        <v>155</v>
      </c>
      <c r="D6" s="198" t="s">
        <v>156</v>
      </c>
      <c r="E6" s="101" t="s">
        <v>157</v>
      </c>
      <c r="F6" s="102" t="s">
        <v>158</v>
      </c>
      <c r="G6" s="100" t="s">
        <v>154</v>
      </c>
      <c r="H6" s="103" t="s">
        <v>159</v>
      </c>
    </row>
    <row r="7" spans="1:8" x14ac:dyDescent="0.2">
      <c r="A7" s="128">
        <v>1</v>
      </c>
      <c r="B7" s="92" t="s">
        <v>160</v>
      </c>
      <c r="C7" s="92" t="s">
        <v>184</v>
      </c>
      <c r="D7" s="107">
        <v>73623</v>
      </c>
      <c r="E7" s="144">
        <v>44592</v>
      </c>
      <c r="F7" s="104"/>
      <c r="G7" s="105"/>
      <c r="H7" s="106"/>
    </row>
    <row r="8" spans="1:8" x14ac:dyDescent="0.2">
      <c r="A8" s="95">
        <v>2</v>
      </c>
      <c r="B8" s="93" t="s">
        <v>183</v>
      </c>
      <c r="C8" s="93" t="s">
        <v>185</v>
      </c>
      <c r="D8" s="107">
        <v>8007</v>
      </c>
      <c r="E8" s="145">
        <v>44553</v>
      </c>
      <c r="F8" s="108"/>
      <c r="G8" s="109"/>
      <c r="H8" s="110"/>
    </row>
    <row r="9" spans="1:8" ht="13.8" thickBot="1" x14ac:dyDescent="0.25">
      <c r="A9" s="141">
        <v>3</v>
      </c>
      <c r="B9" s="111" t="s">
        <v>161</v>
      </c>
      <c r="C9" s="111" t="s">
        <v>148</v>
      </c>
      <c r="D9" s="112">
        <v>30000</v>
      </c>
      <c r="E9" s="142">
        <v>44926</v>
      </c>
      <c r="F9" s="113"/>
      <c r="G9" s="114"/>
      <c r="H9" s="115"/>
    </row>
    <row r="10" spans="1:8" ht="13.8" thickBot="1" x14ac:dyDescent="0.25">
      <c r="A10" s="238"/>
      <c r="B10" s="239"/>
      <c r="C10" s="116" t="s">
        <v>162</v>
      </c>
      <c r="D10" s="117">
        <f>(D7+D9+D8)</f>
        <v>111630</v>
      </c>
      <c r="E10" s="91"/>
      <c r="F10" s="91"/>
      <c r="G10" s="91"/>
      <c r="H10" s="118"/>
    </row>
    <row r="11" spans="1:8" ht="21" customHeight="1" x14ac:dyDescent="0.2">
      <c r="A11" s="240" t="s">
        <v>163</v>
      </c>
      <c r="B11" s="240"/>
      <c r="C11" s="240"/>
      <c r="D11" s="240"/>
      <c r="E11" s="240"/>
      <c r="F11" s="240"/>
      <c r="G11" s="240"/>
      <c r="H11" s="240"/>
    </row>
    <row r="12" spans="1:8" s="119" customFormat="1" ht="17.25" customHeight="1" x14ac:dyDescent="0.2">
      <c r="A12" s="120" t="s">
        <v>164</v>
      </c>
      <c r="B12" s="120"/>
      <c r="C12" s="120"/>
      <c r="D12" s="121"/>
      <c r="E12" s="121"/>
      <c r="F12" s="121"/>
      <c r="G12" s="121"/>
      <c r="H12" s="121"/>
    </row>
    <row r="13" spans="1:8" ht="17.25" customHeight="1" x14ac:dyDescent="0.2">
      <c r="A13" s="241" t="s">
        <v>165</v>
      </c>
      <c r="B13" s="241"/>
      <c r="C13" s="241"/>
      <c r="D13" s="241"/>
      <c r="E13" s="241"/>
      <c r="F13" s="241"/>
      <c r="G13" s="241"/>
      <c r="H13" s="241"/>
    </row>
    <row r="14" spans="1:8" ht="21" customHeight="1" x14ac:dyDescent="0.2">
      <c r="A14" s="122"/>
      <c r="B14" s="123"/>
      <c r="C14" s="123"/>
      <c r="D14" s="123"/>
      <c r="E14" s="123"/>
      <c r="F14" s="123"/>
      <c r="G14" s="123"/>
      <c r="H14" s="123"/>
    </row>
    <row r="15" spans="1:8" ht="13.8" thickBot="1" x14ac:dyDescent="0.25">
      <c r="A15" s="91"/>
      <c r="B15" s="91"/>
      <c r="C15" s="91"/>
      <c r="D15" s="91"/>
      <c r="E15" s="91"/>
      <c r="F15" s="91"/>
      <c r="G15" s="91"/>
      <c r="H15" s="91"/>
    </row>
    <row r="16" spans="1:8" ht="13.8" thickBot="1" x14ac:dyDescent="0.25">
      <c r="A16" s="124" t="s">
        <v>153</v>
      </c>
      <c r="B16" s="125" t="s">
        <v>166</v>
      </c>
      <c r="C16" s="125" t="s">
        <v>167</v>
      </c>
      <c r="D16" s="126" t="s">
        <v>168</v>
      </c>
      <c r="E16" s="127" t="s">
        <v>169</v>
      </c>
      <c r="F16" s="94"/>
      <c r="G16" s="91"/>
      <c r="H16" s="94"/>
    </row>
    <row r="17" spans="1:8" ht="24" customHeight="1" x14ac:dyDescent="0.2">
      <c r="A17" s="128">
        <v>1</v>
      </c>
      <c r="B17" s="129" t="s">
        <v>170</v>
      </c>
      <c r="C17" s="130" t="s" ph="1">
        <v>171</v>
      </c>
      <c r="D17" s="131" t="s">
        <v>172</v>
      </c>
      <c r="E17" s="132" t="s">
        <v>174</v>
      </c>
      <c r="F17" s="133"/>
      <c r="G17" s="91"/>
      <c r="H17" s="134"/>
    </row>
    <row r="18" spans="1:8" ht="24" customHeight="1" thickBot="1" x14ac:dyDescent="0.25">
      <c r="A18" s="141">
        <v>3</v>
      </c>
      <c r="B18" s="135" t="s">
        <v>175</v>
      </c>
      <c r="C18" s="136" t="s" ph="1">
        <v>171</v>
      </c>
      <c r="D18" s="137" t="s">
        <v>176</v>
      </c>
      <c r="E18" s="138" t="s">
        <v>173</v>
      </c>
      <c r="F18" s="133"/>
      <c r="G18" s="91"/>
      <c r="H18" s="134"/>
    </row>
    <row r="19" spans="1:8" ht="13.8" thickBot="1" x14ac:dyDescent="0.25">
      <c r="A19" s="91"/>
      <c r="B19" s="91"/>
      <c r="C19" s="91"/>
      <c r="D19" s="139" t="s">
        <v>177</v>
      </c>
      <c r="E19" s="140">
        <v>0</v>
      </c>
      <c r="F19" s="91"/>
      <c r="G19" s="91"/>
      <c r="H19" s="91"/>
    </row>
    <row r="20" spans="1:8" ht="20.399999999999999" x14ac:dyDescent="0.2">
      <c r="A20" s="2"/>
      <c r="B20" s="2"/>
      <c r="C20" s="2" ph="1"/>
      <c r="D20" s="2"/>
      <c r="E20" s="2"/>
      <c r="F20" s="2"/>
      <c r="G20" s="2"/>
      <c r="H20" s="2"/>
    </row>
    <row r="21" spans="1:8" x14ac:dyDescent="0.2">
      <c r="A21" s="2"/>
      <c r="B21" s="2"/>
      <c r="C21" s="2"/>
      <c r="D21" s="2"/>
      <c r="E21" s="2"/>
      <c r="F21" s="2"/>
      <c r="G21" s="2"/>
      <c r="H21" s="2"/>
    </row>
    <row r="22" spans="1:8" x14ac:dyDescent="0.2">
      <c r="A22" s="2"/>
      <c r="B22" s="2"/>
      <c r="C22" s="2"/>
      <c r="D22" s="2"/>
      <c r="E22" s="2"/>
      <c r="F22" s="2"/>
      <c r="G22" s="2"/>
      <c r="H22" s="2"/>
    </row>
    <row r="23" spans="1:8" x14ac:dyDescent="0.2">
      <c r="A23" s="2"/>
      <c r="B23" s="2"/>
      <c r="C23" s="2"/>
      <c r="D23" s="2"/>
      <c r="E23" s="2"/>
      <c r="F23" s="2"/>
      <c r="G23" s="2"/>
      <c r="H23" s="2"/>
    </row>
    <row r="24" spans="1:8" x14ac:dyDescent="0.2">
      <c r="A24" s="2"/>
      <c r="B24" s="2"/>
      <c r="C24" s="2"/>
      <c r="D24" s="2"/>
      <c r="E24" s="2"/>
      <c r="F24" s="2"/>
      <c r="G24" s="2"/>
      <c r="H24" s="2"/>
    </row>
    <row r="25" spans="1:8" x14ac:dyDescent="0.2">
      <c r="A25" s="2"/>
      <c r="B25" s="2"/>
      <c r="C25" s="2"/>
      <c r="D25" s="2"/>
      <c r="E25" s="2"/>
      <c r="F25" s="2"/>
      <c r="G25" s="2"/>
      <c r="H25" s="2"/>
    </row>
    <row r="26" spans="1:8" x14ac:dyDescent="0.2">
      <c r="A26" s="2"/>
      <c r="B26" s="2"/>
      <c r="C26" s="2"/>
      <c r="D26" s="2"/>
      <c r="E26" s="2"/>
      <c r="F26" s="2"/>
      <c r="G26" s="2"/>
      <c r="H26" s="2"/>
    </row>
    <row r="27" spans="1:8" x14ac:dyDescent="0.2">
      <c r="A27" s="2"/>
      <c r="B27" s="2"/>
      <c r="C27" s="2"/>
      <c r="D27" s="2"/>
      <c r="E27" s="2"/>
      <c r="F27" s="2"/>
      <c r="G27" s="2"/>
      <c r="H27" s="2"/>
    </row>
    <row r="28" spans="1:8" x14ac:dyDescent="0.2">
      <c r="A28" s="2"/>
      <c r="B28" s="2"/>
      <c r="C28" s="2"/>
      <c r="D28" s="2"/>
      <c r="E28" s="2"/>
      <c r="F28" s="2"/>
      <c r="G28" s="2"/>
      <c r="H28" s="2"/>
    </row>
    <row r="29" spans="1:8" x14ac:dyDescent="0.2">
      <c r="A29" s="2"/>
      <c r="B29" s="2"/>
      <c r="C29" s="2"/>
      <c r="D29" s="2"/>
      <c r="E29" s="2"/>
      <c r="F29" s="2"/>
      <c r="G29" s="2"/>
      <c r="H29" s="2"/>
    </row>
    <row r="30" spans="1:8" x14ac:dyDescent="0.2">
      <c r="A30" s="2"/>
      <c r="B30" s="2"/>
      <c r="C30" s="2"/>
      <c r="D30" s="2"/>
      <c r="E30" s="2"/>
      <c r="F30" s="2"/>
      <c r="G30" s="2"/>
      <c r="H30" s="2"/>
    </row>
    <row r="31" spans="1:8" ht="20.399999999999999" x14ac:dyDescent="0.2">
      <c r="A31" s="2"/>
      <c r="B31" s="2"/>
      <c r="C31" s="2" ph="1"/>
      <c r="D31" s="2"/>
      <c r="E31" s="2"/>
      <c r="F31" s="2"/>
      <c r="G31" s="2"/>
      <c r="H31" s="2"/>
    </row>
  </sheetData>
  <mergeCells count="5">
    <mergeCell ref="A5:E5"/>
    <mergeCell ref="F5:H5"/>
    <mergeCell ref="A10:B10"/>
    <mergeCell ref="A11:H11"/>
    <mergeCell ref="A13:H13"/>
  </mergeCells>
  <phoneticPr fontId="18"/>
  <hyperlinks>
    <hyperlink ref="A8" r:id="rId1" display="mitsumori\kitte_ryousyuusyo2.pdf" xr:uid="{38BD18A5-AA5A-4F20-B2DB-B32AF0DF65A5}"/>
    <hyperlink ref="A9" r:id="rId2" display="mitsumori\teensmyujikaru_mitumori2.pdf" xr:uid="{67A77431-7417-4CB9-A1A0-0DDBFC528BCB}"/>
    <hyperlink ref="A7" r:id="rId3" display="mitsumori\gurandehagakure_heyadai2.pdf" xr:uid="{A4CEDF23-E668-4EF4-A6FB-09EDA63E481C}"/>
    <hyperlink ref="A17" r:id="rId4" display="mitsumori\gurandehagakure_heyadai2.pdf" xr:uid="{0B4CF5FB-EF0D-43F6-B185-44D16218FE3E}"/>
    <hyperlink ref="A18" r:id="rId5" display="mitsumori\teensmyujikaru_mitumori2.pdf" xr:uid="{B1EEFCCC-1934-46D9-AE88-6E1FE1C52923}"/>
  </hyperlinks>
  <printOptions horizontalCentered="1"/>
  <pageMargins left="1.06" right="0.67" top="0.98" bottom="0.98" header="0.51" footer="0.51"/>
  <pageSetup paperSize="9"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915A4-F67D-4171-8C10-17E98AF660AC}">
  <sheetPr>
    <pageSetUpPr fitToPage="1"/>
  </sheetPr>
  <dimension ref="A1:G18"/>
  <sheetViews>
    <sheetView view="pageBreakPreview" zoomScaleNormal="100" zoomScaleSheetLayoutView="100" workbookViewId="0">
      <selection activeCell="G17" sqref="G17"/>
    </sheetView>
  </sheetViews>
  <sheetFormatPr defaultRowHeight="13.2" x14ac:dyDescent="0.2"/>
  <cols>
    <col min="1" max="1" width="11.88671875" style="147" customWidth="1"/>
    <col min="2" max="2" width="7.33203125" style="147" customWidth="1"/>
    <col min="3" max="3" width="35.109375" style="147" customWidth="1"/>
    <col min="4" max="5" width="10.6640625" style="147" customWidth="1"/>
    <col min="6" max="6" width="9.6640625" style="147" customWidth="1"/>
    <col min="7" max="7" width="71.88671875" style="147" customWidth="1"/>
    <col min="8" max="259" width="9" style="147"/>
    <col min="260" max="261" width="10.6640625" style="147" customWidth="1"/>
    <col min="262" max="262" width="9.6640625" style="147" customWidth="1"/>
    <col min="263" max="263" width="71.88671875" style="147" customWidth="1"/>
    <col min="264" max="515" width="9" style="147"/>
    <col min="516" max="517" width="10.6640625" style="147" customWidth="1"/>
    <col min="518" max="518" width="9.6640625" style="147" customWidth="1"/>
    <col min="519" max="519" width="71.88671875" style="147" customWidth="1"/>
    <col min="520" max="771" width="9" style="147"/>
    <col min="772" max="773" width="10.6640625" style="147" customWidth="1"/>
    <col min="774" max="774" width="9.6640625" style="147" customWidth="1"/>
    <col min="775" max="775" width="71.88671875" style="147" customWidth="1"/>
    <col min="776" max="1027" width="9" style="147"/>
    <col min="1028" max="1029" width="10.6640625" style="147" customWidth="1"/>
    <col min="1030" max="1030" width="9.6640625" style="147" customWidth="1"/>
    <col min="1031" max="1031" width="71.88671875" style="147" customWidth="1"/>
    <col min="1032" max="1283" width="9" style="147"/>
    <col min="1284" max="1285" width="10.6640625" style="147" customWidth="1"/>
    <col min="1286" max="1286" width="9.6640625" style="147" customWidth="1"/>
    <col min="1287" max="1287" width="71.88671875" style="147" customWidth="1"/>
    <col min="1288" max="1539" width="9" style="147"/>
    <col min="1540" max="1541" width="10.6640625" style="147" customWidth="1"/>
    <col min="1542" max="1542" width="9.6640625" style="147" customWidth="1"/>
    <col min="1543" max="1543" width="71.88671875" style="147" customWidth="1"/>
    <col min="1544" max="1795" width="9" style="147"/>
    <col min="1796" max="1797" width="10.6640625" style="147" customWidth="1"/>
    <col min="1798" max="1798" width="9.6640625" style="147" customWidth="1"/>
    <col min="1799" max="1799" width="71.88671875" style="147" customWidth="1"/>
    <col min="1800" max="2051" width="9" style="147"/>
    <col min="2052" max="2053" width="10.6640625" style="147" customWidth="1"/>
    <col min="2054" max="2054" width="9.6640625" style="147" customWidth="1"/>
    <col min="2055" max="2055" width="71.88671875" style="147" customWidth="1"/>
    <col min="2056" max="2307" width="9" style="147"/>
    <col min="2308" max="2309" width="10.6640625" style="147" customWidth="1"/>
    <col min="2310" max="2310" width="9.6640625" style="147" customWidth="1"/>
    <col min="2311" max="2311" width="71.88671875" style="147" customWidth="1"/>
    <col min="2312" max="2563" width="9" style="147"/>
    <col min="2564" max="2565" width="10.6640625" style="147" customWidth="1"/>
    <col min="2566" max="2566" width="9.6640625" style="147" customWidth="1"/>
    <col min="2567" max="2567" width="71.88671875" style="147" customWidth="1"/>
    <col min="2568" max="2819" width="9" style="147"/>
    <col min="2820" max="2821" width="10.6640625" style="147" customWidth="1"/>
    <col min="2822" max="2822" width="9.6640625" style="147" customWidth="1"/>
    <col min="2823" max="2823" width="71.88671875" style="147" customWidth="1"/>
    <col min="2824" max="3075" width="9" style="147"/>
    <col min="3076" max="3077" width="10.6640625" style="147" customWidth="1"/>
    <col min="3078" max="3078" width="9.6640625" style="147" customWidth="1"/>
    <col min="3079" max="3079" width="71.88671875" style="147" customWidth="1"/>
    <col min="3080" max="3331" width="9" style="147"/>
    <col min="3332" max="3333" width="10.6640625" style="147" customWidth="1"/>
    <col min="3334" max="3334" width="9.6640625" style="147" customWidth="1"/>
    <col min="3335" max="3335" width="71.88671875" style="147" customWidth="1"/>
    <col min="3336" max="3587" width="9" style="147"/>
    <col min="3588" max="3589" width="10.6640625" style="147" customWidth="1"/>
    <col min="3590" max="3590" width="9.6640625" style="147" customWidth="1"/>
    <col min="3591" max="3591" width="71.88671875" style="147" customWidth="1"/>
    <col min="3592" max="3843" width="9" style="147"/>
    <col min="3844" max="3845" width="10.6640625" style="147" customWidth="1"/>
    <col min="3846" max="3846" width="9.6640625" style="147" customWidth="1"/>
    <col min="3847" max="3847" width="71.88671875" style="147" customWidth="1"/>
    <col min="3848" max="4099" width="9" style="147"/>
    <col min="4100" max="4101" width="10.6640625" style="147" customWidth="1"/>
    <col min="4102" max="4102" width="9.6640625" style="147" customWidth="1"/>
    <col min="4103" max="4103" width="71.88671875" style="147" customWidth="1"/>
    <col min="4104" max="4355" width="9" style="147"/>
    <col min="4356" max="4357" width="10.6640625" style="147" customWidth="1"/>
    <col min="4358" max="4358" width="9.6640625" style="147" customWidth="1"/>
    <col min="4359" max="4359" width="71.88671875" style="147" customWidth="1"/>
    <col min="4360" max="4611" width="9" style="147"/>
    <col min="4612" max="4613" width="10.6640625" style="147" customWidth="1"/>
    <col min="4614" max="4614" width="9.6640625" style="147" customWidth="1"/>
    <col min="4615" max="4615" width="71.88671875" style="147" customWidth="1"/>
    <col min="4616" max="4867" width="9" style="147"/>
    <col min="4868" max="4869" width="10.6640625" style="147" customWidth="1"/>
    <col min="4870" max="4870" width="9.6640625" style="147" customWidth="1"/>
    <col min="4871" max="4871" width="71.88671875" style="147" customWidth="1"/>
    <col min="4872" max="5123" width="9" style="147"/>
    <col min="5124" max="5125" width="10.6640625" style="147" customWidth="1"/>
    <col min="5126" max="5126" width="9.6640625" style="147" customWidth="1"/>
    <col min="5127" max="5127" width="71.88671875" style="147" customWidth="1"/>
    <col min="5128" max="5379" width="9" style="147"/>
    <col min="5380" max="5381" width="10.6640625" style="147" customWidth="1"/>
    <col min="5382" max="5382" width="9.6640625" style="147" customWidth="1"/>
    <col min="5383" max="5383" width="71.88671875" style="147" customWidth="1"/>
    <col min="5384" max="5635" width="9" style="147"/>
    <col min="5636" max="5637" width="10.6640625" style="147" customWidth="1"/>
    <col min="5638" max="5638" width="9.6640625" style="147" customWidth="1"/>
    <col min="5639" max="5639" width="71.88671875" style="147" customWidth="1"/>
    <col min="5640" max="5891" width="9" style="147"/>
    <col min="5892" max="5893" width="10.6640625" style="147" customWidth="1"/>
    <col min="5894" max="5894" width="9.6640625" style="147" customWidth="1"/>
    <col min="5895" max="5895" width="71.88671875" style="147" customWidth="1"/>
    <col min="5896" max="6147" width="9" style="147"/>
    <col min="6148" max="6149" width="10.6640625" style="147" customWidth="1"/>
    <col min="6150" max="6150" width="9.6640625" style="147" customWidth="1"/>
    <col min="6151" max="6151" width="71.88671875" style="147" customWidth="1"/>
    <col min="6152" max="6403" width="9" style="147"/>
    <col min="6404" max="6405" width="10.6640625" style="147" customWidth="1"/>
    <col min="6406" max="6406" width="9.6640625" style="147" customWidth="1"/>
    <col min="6407" max="6407" width="71.88671875" style="147" customWidth="1"/>
    <col min="6408" max="6659" width="9" style="147"/>
    <col min="6660" max="6661" width="10.6640625" style="147" customWidth="1"/>
    <col min="6662" max="6662" width="9.6640625" style="147" customWidth="1"/>
    <col min="6663" max="6663" width="71.88671875" style="147" customWidth="1"/>
    <col min="6664" max="6915" width="9" style="147"/>
    <col min="6916" max="6917" width="10.6640625" style="147" customWidth="1"/>
    <col min="6918" max="6918" width="9.6640625" style="147" customWidth="1"/>
    <col min="6919" max="6919" width="71.88671875" style="147" customWidth="1"/>
    <col min="6920" max="7171" width="9" style="147"/>
    <col min="7172" max="7173" width="10.6640625" style="147" customWidth="1"/>
    <col min="7174" max="7174" width="9.6640625" style="147" customWidth="1"/>
    <col min="7175" max="7175" width="71.88671875" style="147" customWidth="1"/>
    <col min="7176" max="7427" width="9" style="147"/>
    <col min="7428" max="7429" width="10.6640625" style="147" customWidth="1"/>
    <col min="7430" max="7430" width="9.6640625" style="147" customWidth="1"/>
    <col min="7431" max="7431" width="71.88671875" style="147" customWidth="1"/>
    <col min="7432" max="7683" width="9" style="147"/>
    <col min="7684" max="7685" width="10.6640625" style="147" customWidth="1"/>
    <col min="7686" max="7686" width="9.6640625" style="147" customWidth="1"/>
    <col min="7687" max="7687" width="71.88671875" style="147" customWidth="1"/>
    <col min="7688" max="7939" width="9" style="147"/>
    <col min="7940" max="7941" width="10.6640625" style="147" customWidth="1"/>
    <col min="7942" max="7942" width="9.6640625" style="147" customWidth="1"/>
    <col min="7943" max="7943" width="71.88671875" style="147" customWidth="1"/>
    <col min="7944" max="8195" width="9" style="147"/>
    <col min="8196" max="8197" width="10.6640625" style="147" customWidth="1"/>
    <col min="8198" max="8198" width="9.6640625" style="147" customWidth="1"/>
    <col min="8199" max="8199" width="71.88671875" style="147" customWidth="1"/>
    <col min="8200" max="8451" width="9" style="147"/>
    <col min="8452" max="8453" width="10.6640625" style="147" customWidth="1"/>
    <col min="8454" max="8454" width="9.6640625" style="147" customWidth="1"/>
    <col min="8455" max="8455" width="71.88671875" style="147" customWidth="1"/>
    <col min="8456" max="8707" width="9" style="147"/>
    <col min="8708" max="8709" width="10.6640625" style="147" customWidth="1"/>
    <col min="8710" max="8710" width="9.6640625" style="147" customWidth="1"/>
    <col min="8711" max="8711" width="71.88671875" style="147" customWidth="1"/>
    <col min="8712" max="8963" width="9" style="147"/>
    <col min="8964" max="8965" width="10.6640625" style="147" customWidth="1"/>
    <col min="8966" max="8966" width="9.6640625" style="147" customWidth="1"/>
    <col min="8967" max="8967" width="71.88671875" style="147" customWidth="1"/>
    <col min="8968" max="9219" width="9" style="147"/>
    <col min="9220" max="9221" width="10.6640625" style="147" customWidth="1"/>
    <col min="9222" max="9222" width="9.6640625" style="147" customWidth="1"/>
    <col min="9223" max="9223" width="71.88671875" style="147" customWidth="1"/>
    <col min="9224" max="9475" width="9" style="147"/>
    <col min="9476" max="9477" width="10.6640625" style="147" customWidth="1"/>
    <col min="9478" max="9478" width="9.6640625" style="147" customWidth="1"/>
    <col min="9479" max="9479" width="71.88671875" style="147" customWidth="1"/>
    <col min="9480" max="9731" width="9" style="147"/>
    <col min="9732" max="9733" width="10.6640625" style="147" customWidth="1"/>
    <col min="9734" max="9734" width="9.6640625" style="147" customWidth="1"/>
    <col min="9735" max="9735" width="71.88671875" style="147" customWidth="1"/>
    <col min="9736" max="9987" width="9" style="147"/>
    <col min="9988" max="9989" width="10.6640625" style="147" customWidth="1"/>
    <col min="9990" max="9990" width="9.6640625" style="147" customWidth="1"/>
    <col min="9991" max="9991" width="71.88671875" style="147" customWidth="1"/>
    <col min="9992" max="10243" width="9" style="147"/>
    <col min="10244" max="10245" width="10.6640625" style="147" customWidth="1"/>
    <col min="10246" max="10246" width="9.6640625" style="147" customWidth="1"/>
    <col min="10247" max="10247" width="71.88671875" style="147" customWidth="1"/>
    <col min="10248" max="10499" width="9" style="147"/>
    <col min="10500" max="10501" width="10.6640625" style="147" customWidth="1"/>
    <col min="10502" max="10502" width="9.6640625" style="147" customWidth="1"/>
    <col min="10503" max="10503" width="71.88671875" style="147" customWidth="1"/>
    <col min="10504" max="10755" width="9" style="147"/>
    <col min="10756" max="10757" width="10.6640625" style="147" customWidth="1"/>
    <col min="10758" max="10758" width="9.6640625" style="147" customWidth="1"/>
    <col min="10759" max="10759" width="71.88671875" style="147" customWidth="1"/>
    <col min="10760" max="11011" width="9" style="147"/>
    <col min="11012" max="11013" width="10.6640625" style="147" customWidth="1"/>
    <col min="11014" max="11014" width="9.6640625" style="147" customWidth="1"/>
    <col min="11015" max="11015" width="71.88671875" style="147" customWidth="1"/>
    <col min="11016" max="11267" width="9" style="147"/>
    <col min="11268" max="11269" width="10.6640625" style="147" customWidth="1"/>
    <col min="11270" max="11270" width="9.6640625" style="147" customWidth="1"/>
    <col min="11271" max="11271" width="71.88671875" style="147" customWidth="1"/>
    <col min="11272" max="11523" width="9" style="147"/>
    <col min="11524" max="11525" width="10.6640625" style="147" customWidth="1"/>
    <col min="11526" max="11526" width="9.6640625" style="147" customWidth="1"/>
    <col min="11527" max="11527" width="71.88671875" style="147" customWidth="1"/>
    <col min="11528" max="11779" width="9" style="147"/>
    <col min="11780" max="11781" width="10.6640625" style="147" customWidth="1"/>
    <col min="11782" max="11782" width="9.6640625" style="147" customWidth="1"/>
    <col min="11783" max="11783" width="71.88671875" style="147" customWidth="1"/>
    <col min="11784" max="12035" width="9" style="147"/>
    <col min="12036" max="12037" width="10.6640625" style="147" customWidth="1"/>
    <col min="12038" max="12038" width="9.6640625" style="147" customWidth="1"/>
    <col min="12039" max="12039" width="71.88671875" style="147" customWidth="1"/>
    <col min="12040" max="12291" width="9" style="147"/>
    <col min="12292" max="12293" width="10.6640625" style="147" customWidth="1"/>
    <col min="12294" max="12294" width="9.6640625" style="147" customWidth="1"/>
    <col min="12295" max="12295" width="71.88671875" style="147" customWidth="1"/>
    <col min="12296" max="12547" width="9" style="147"/>
    <col min="12548" max="12549" width="10.6640625" style="147" customWidth="1"/>
    <col min="12550" max="12550" width="9.6640625" style="147" customWidth="1"/>
    <col min="12551" max="12551" width="71.88671875" style="147" customWidth="1"/>
    <col min="12552" max="12803" width="9" style="147"/>
    <col min="12804" max="12805" width="10.6640625" style="147" customWidth="1"/>
    <col min="12806" max="12806" width="9.6640625" style="147" customWidth="1"/>
    <col min="12807" max="12807" width="71.88671875" style="147" customWidth="1"/>
    <col min="12808" max="13059" width="9" style="147"/>
    <col min="13060" max="13061" width="10.6640625" style="147" customWidth="1"/>
    <col min="13062" max="13062" width="9.6640625" style="147" customWidth="1"/>
    <col min="13063" max="13063" width="71.88671875" style="147" customWidth="1"/>
    <col min="13064" max="13315" width="9" style="147"/>
    <col min="13316" max="13317" width="10.6640625" style="147" customWidth="1"/>
    <col min="13318" max="13318" width="9.6640625" style="147" customWidth="1"/>
    <col min="13319" max="13319" width="71.88671875" style="147" customWidth="1"/>
    <col min="13320" max="13571" width="9" style="147"/>
    <col min="13572" max="13573" width="10.6640625" style="147" customWidth="1"/>
    <col min="13574" max="13574" width="9.6640625" style="147" customWidth="1"/>
    <col min="13575" max="13575" width="71.88671875" style="147" customWidth="1"/>
    <col min="13576" max="13827" width="9" style="147"/>
    <col min="13828" max="13829" width="10.6640625" style="147" customWidth="1"/>
    <col min="13830" max="13830" width="9.6640625" style="147" customWidth="1"/>
    <col min="13831" max="13831" width="71.88671875" style="147" customWidth="1"/>
    <col min="13832" max="14083" width="9" style="147"/>
    <col min="14084" max="14085" width="10.6640625" style="147" customWidth="1"/>
    <col min="14086" max="14086" width="9.6640625" style="147" customWidth="1"/>
    <col min="14087" max="14087" width="71.88671875" style="147" customWidth="1"/>
    <col min="14088" max="14339" width="9" style="147"/>
    <col min="14340" max="14341" width="10.6640625" style="147" customWidth="1"/>
    <col min="14342" max="14342" width="9.6640625" style="147" customWidth="1"/>
    <col min="14343" max="14343" width="71.88671875" style="147" customWidth="1"/>
    <col min="14344" max="14595" width="9" style="147"/>
    <col min="14596" max="14597" width="10.6640625" style="147" customWidth="1"/>
    <col min="14598" max="14598" width="9.6640625" style="147" customWidth="1"/>
    <col min="14599" max="14599" width="71.88671875" style="147" customWidth="1"/>
    <col min="14600" max="14851" width="9" style="147"/>
    <col min="14852" max="14853" width="10.6640625" style="147" customWidth="1"/>
    <col min="14854" max="14854" width="9.6640625" style="147" customWidth="1"/>
    <col min="14855" max="14855" width="71.88671875" style="147" customWidth="1"/>
    <col min="14856" max="15107" width="9" style="147"/>
    <col min="15108" max="15109" width="10.6640625" style="147" customWidth="1"/>
    <col min="15110" max="15110" width="9.6640625" style="147" customWidth="1"/>
    <col min="15111" max="15111" width="71.88671875" style="147" customWidth="1"/>
    <col min="15112" max="15363" width="9" style="147"/>
    <col min="15364" max="15365" width="10.6640625" style="147" customWidth="1"/>
    <col min="15366" max="15366" width="9.6640625" style="147" customWidth="1"/>
    <col min="15367" max="15367" width="71.88671875" style="147" customWidth="1"/>
    <col min="15368" max="15619" width="9" style="147"/>
    <col min="15620" max="15621" width="10.6640625" style="147" customWidth="1"/>
    <col min="15622" max="15622" width="9.6640625" style="147" customWidth="1"/>
    <col min="15623" max="15623" width="71.88671875" style="147" customWidth="1"/>
    <col min="15624" max="15875" width="9" style="147"/>
    <col min="15876" max="15877" width="10.6640625" style="147" customWidth="1"/>
    <col min="15878" max="15878" width="9.6640625" style="147" customWidth="1"/>
    <col min="15879" max="15879" width="71.88671875" style="147" customWidth="1"/>
    <col min="15880" max="16131" width="9" style="147"/>
    <col min="16132" max="16133" width="10.6640625" style="147" customWidth="1"/>
    <col min="16134" max="16134" width="9.6640625" style="147" customWidth="1"/>
    <col min="16135" max="16135" width="71.88671875" style="147" customWidth="1"/>
    <col min="16136" max="16384" width="9" style="147"/>
  </cols>
  <sheetData>
    <row r="1" spans="1:7" x14ac:dyDescent="0.2">
      <c r="A1" s="244" t="s">
        <v>186</v>
      </c>
      <c r="B1" s="244"/>
      <c r="C1" s="244"/>
      <c r="D1" s="244"/>
      <c r="E1" s="244"/>
      <c r="F1" s="244"/>
      <c r="G1" s="244"/>
    </row>
    <row r="3" spans="1:7" ht="16.2" x14ac:dyDescent="0.2">
      <c r="A3" s="245" t="s">
        <v>187</v>
      </c>
      <c r="B3" s="245"/>
      <c r="C3" s="245"/>
      <c r="D3" s="245"/>
      <c r="E3" s="245"/>
      <c r="F3" s="245"/>
      <c r="G3" s="245"/>
    </row>
    <row r="4" spans="1:7" x14ac:dyDescent="0.2">
      <c r="A4" s="246" t="s">
        <v>241</v>
      </c>
      <c r="B4" s="247"/>
      <c r="C4" s="247"/>
      <c r="D4" s="247"/>
      <c r="E4" s="247"/>
      <c r="F4" s="247"/>
      <c r="G4" s="247"/>
    </row>
    <row r="6" spans="1:7" x14ac:dyDescent="0.2">
      <c r="A6" s="248" t="s">
        <v>141</v>
      </c>
      <c r="B6" s="248"/>
      <c r="C6" s="248"/>
      <c r="D6" s="248"/>
      <c r="E6" s="248"/>
      <c r="F6" s="248"/>
      <c r="G6" s="248"/>
    </row>
    <row r="7" spans="1:7" x14ac:dyDescent="0.2">
      <c r="A7" s="148" t="s">
        <v>188</v>
      </c>
      <c r="B7" s="149" t="s">
        <v>189</v>
      </c>
      <c r="C7" s="148" t="s">
        <v>190</v>
      </c>
      <c r="D7" s="150" t="s">
        <v>191</v>
      </c>
      <c r="E7" s="150" t="s">
        <v>192</v>
      </c>
      <c r="F7" s="150" t="s">
        <v>193</v>
      </c>
      <c r="G7" s="150" t="s">
        <v>194</v>
      </c>
    </row>
    <row r="8" spans="1:7" x14ac:dyDescent="0.2">
      <c r="A8" s="242" t="s">
        <v>195</v>
      </c>
      <c r="B8" s="243"/>
      <c r="C8" s="149"/>
      <c r="D8" s="151"/>
      <c r="E8" s="151"/>
      <c r="F8" s="151"/>
      <c r="G8" s="152"/>
    </row>
    <row r="9" spans="1:7" x14ac:dyDescent="0.2">
      <c r="A9" s="153"/>
      <c r="B9" s="154"/>
      <c r="C9" s="155"/>
      <c r="D9" s="156"/>
      <c r="E9" s="156"/>
      <c r="F9" s="156">
        <f>D9-E9</f>
        <v>0</v>
      </c>
      <c r="G9" s="155"/>
    </row>
    <row r="10" spans="1:7" x14ac:dyDescent="0.2">
      <c r="A10" s="242" t="s">
        <v>136</v>
      </c>
      <c r="B10" s="243"/>
      <c r="C10" s="157"/>
      <c r="D10" s="158"/>
      <c r="E10" s="158"/>
      <c r="F10" s="158"/>
      <c r="G10" s="151"/>
    </row>
    <row r="11" spans="1:7" x14ac:dyDescent="0.2">
      <c r="A11" s="191" t="s">
        <v>242</v>
      </c>
      <c r="B11" s="193" t="s">
        <v>243</v>
      </c>
      <c r="C11" s="178" t="s">
        <v>244</v>
      </c>
      <c r="D11" s="156">
        <v>55000</v>
      </c>
      <c r="E11" s="156">
        <v>46948</v>
      </c>
      <c r="F11" s="156">
        <f t="shared" ref="F11:F15" si="0">D11-E11</f>
        <v>8052</v>
      </c>
      <c r="G11" s="178" t="s">
        <v>249</v>
      </c>
    </row>
    <row r="12" spans="1:7" ht="26.4" x14ac:dyDescent="0.2">
      <c r="A12" s="191" t="s">
        <v>242</v>
      </c>
      <c r="B12" s="193" t="s">
        <v>243</v>
      </c>
      <c r="C12" s="178" t="s">
        <v>147</v>
      </c>
      <c r="D12" s="156">
        <v>6776</v>
      </c>
      <c r="E12" s="156">
        <v>3388</v>
      </c>
      <c r="F12" s="156">
        <f t="shared" si="0"/>
        <v>3388</v>
      </c>
      <c r="G12" s="194" t="s">
        <v>273</v>
      </c>
    </row>
    <row r="13" spans="1:7" x14ac:dyDescent="0.2">
      <c r="A13" s="191" t="s">
        <v>245</v>
      </c>
      <c r="B13" s="193" t="s">
        <v>246</v>
      </c>
      <c r="C13" s="178" t="s">
        <v>247</v>
      </c>
      <c r="D13" s="156">
        <v>1650</v>
      </c>
      <c r="E13" s="156">
        <v>6050</v>
      </c>
      <c r="F13" s="156">
        <f t="shared" si="0"/>
        <v>-4400</v>
      </c>
      <c r="G13" s="178" t="s">
        <v>272</v>
      </c>
    </row>
    <row r="14" spans="1:7" ht="26.4" x14ac:dyDescent="0.2">
      <c r="A14" s="191" t="s">
        <v>139</v>
      </c>
      <c r="B14" s="193"/>
      <c r="C14" s="155" t="s">
        <v>248</v>
      </c>
      <c r="D14" s="156">
        <v>16500</v>
      </c>
      <c r="E14" s="156">
        <v>0</v>
      </c>
      <c r="F14" s="156">
        <f t="shared" si="0"/>
        <v>16500</v>
      </c>
      <c r="G14" s="194" t="s">
        <v>258</v>
      </c>
    </row>
    <row r="15" spans="1:7" ht="26.4" x14ac:dyDescent="0.2">
      <c r="A15" s="181" t="s">
        <v>257</v>
      </c>
      <c r="B15" s="159"/>
      <c r="C15" s="174" t="s">
        <v>256</v>
      </c>
      <c r="D15" s="160">
        <v>3465</v>
      </c>
      <c r="E15" s="160">
        <v>0</v>
      </c>
      <c r="F15" s="160">
        <f t="shared" si="0"/>
        <v>3465</v>
      </c>
      <c r="G15" s="199" t="s">
        <v>258</v>
      </c>
    </row>
    <row r="17" spans="1:2" x14ac:dyDescent="0.2">
      <c r="A17" s="161" t="s">
        <v>196</v>
      </c>
      <c r="B17" s="147" t="s">
        <v>197</v>
      </c>
    </row>
    <row r="18" spans="1:2" x14ac:dyDescent="0.2">
      <c r="A18" s="161" t="s">
        <v>196</v>
      </c>
      <c r="B18" s="147" t="s">
        <v>198</v>
      </c>
    </row>
  </sheetData>
  <mergeCells count="6">
    <mergeCell ref="A10:B10"/>
    <mergeCell ref="A1:G1"/>
    <mergeCell ref="A3:G3"/>
    <mergeCell ref="A4:G4"/>
    <mergeCell ref="A6:G6"/>
    <mergeCell ref="A8:B8"/>
  </mergeCells>
  <phoneticPr fontId="18"/>
  <printOptions horizontalCentered="1"/>
  <pageMargins left="0.78740157480314965" right="0.78740157480314965" top="0.98425196850393704" bottom="0.98425196850393704" header="0.51181102362204722" footer="0.51181102362204722"/>
  <pageSetup paperSize="9" scale="8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A09DA-957C-4FE4-B6E7-02E372B736D0}">
  <sheetPr>
    <pageSetUpPr fitToPage="1"/>
  </sheetPr>
  <dimension ref="A1:G35"/>
  <sheetViews>
    <sheetView view="pageBreakPreview" topLeftCell="A16" zoomScaleNormal="100" zoomScaleSheetLayoutView="100" workbookViewId="0">
      <selection activeCell="C29" sqref="C29"/>
    </sheetView>
  </sheetViews>
  <sheetFormatPr defaultRowHeight="13.2" x14ac:dyDescent="0.2"/>
  <cols>
    <col min="1" max="1" width="3.88671875" style="147" customWidth="1"/>
    <col min="2" max="2" width="18.6640625" style="147" customWidth="1"/>
    <col min="3" max="6" width="15.6640625" style="147" customWidth="1"/>
    <col min="7" max="7" width="11.109375" style="147" customWidth="1"/>
    <col min="8" max="256" width="9" style="147"/>
    <col min="257" max="257" width="3.88671875" style="147" customWidth="1"/>
    <col min="258" max="258" width="18.6640625" style="147" customWidth="1"/>
    <col min="259" max="262" width="15.6640625" style="147" customWidth="1"/>
    <col min="263" max="263" width="11.109375" style="147" customWidth="1"/>
    <col min="264" max="512" width="9" style="147"/>
    <col min="513" max="513" width="3.88671875" style="147" customWidth="1"/>
    <col min="514" max="514" width="18.6640625" style="147" customWidth="1"/>
    <col min="515" max="518" width="15.6640625" style="147" customWidth="1"/>
    <col min="519" max="519" width="11.109375" style="147" customWidth="1"/>
    <col min="520" max="768" width="9" style="147"/>
    <col min="769" max="769" width="3.88671875" style="147" customWidth="1"/>
    <col min="770" max="770" width="18.6640625" style="147" customWidth="1"/>
    <col min="771" max="774" width="15.6640625" style="147" customWidth="1"/>
    <col min="775" max="775" width="11.109375" style="147" customWidth="1"/>
    <col min="776" max="1024" width="9" style="147"/>
    <col min="1025" max="1025" width="3.88671875" style="147" customWidth="1"/>
    <col min="1026" max="1026" width="18.6640625" style="147" customWidth="1"/>
    <col min="1027" max="1030" width="15.6640625" style="147" customWidth="1"/>
    <col min="1031" max="1031" width="11.109375" style="147" customWidth="1"/>
    <col min="1032" max="1280" width="9" style="147"/>
    <col min="1281" max="1281" width="3.88671875" style="147" customWidth="1"/>
    <col min="1282" max="1282" width="18.6640625" style="147" customWidth="1"/>
    <col min="1283" max="1286" width="15.6640625" style="147" customWidth="1"/>
    <col min="1287" max="1287" width="11.109375" style="147" customWidth="1"/>
    <col min="1288" max="1536" width="9" style="147"/>
    <col min="1537" max="1537" width="3.88671875" style="147" customWidth="1"/>
    <col min="1538" max="1538" width="18.6640625" style="147" customWidth="1"/>
    <col min="1539" max="1542" width="15.6640625" style="147" customWidth="1"/>
    <col min="1543" max="1543" width="11.109375" style="147" customWidth="1"/>
    <col min="1544" max="1792" width="9" style="147"/>
    <col min="1793" max="1793" width="3.88671875" style="147" customWidth="1"/>
    <col min="1794" max="1794" width="18.6640625" style="147" customWidth="1"/>
    <col min="1795" max="1798" width="15.6640625" style="147" customWidth="1"/>
    <col min="1799" max="1799" width="11.109375" style="147" customWidth="1"/>
    <col min="1800" max="2048" width="9" style="147"/>
    <col min="2049" max="2049" width="3.88671875" style="147" customWidth="1"/>
    <col min="2050" max="2050" width="18.6640625" style="147" customWidth="1"/>
    <col min="2051" max="2054" width="15.6640625" style="147" customWidth="1"/>
    <col min="2055" max="2055" width="11.109375" style="147" customWidth="1"/>
    <col min="2056" max="2304" width="9" style="147"/>
    <col min="2305" max="2305" width="3.88671875" style="147" customWidth="1"/>
    <col min="2306" max="2306" width="18.6640625" style="147" customWidth="1"/>
    <col min="2307" max="2310" width="15.6640625" style="147" customWidth="1"/>
    <col min="2311" max="2311" width="11.109375" style="147" customWidth="1"/>
    <col min="2312" max="2560" width="9" style="147"/>
    <col min="2561" max="2561" width="3.88671875" style="147" customWidth="1"/>
    <col min="2562" max="2562" width="18.6640625" style="147" customWidth="1"/>
    <col min="2563" max="2566" width="15.6640625" style="147" customWidth="1"/>
    <col min="2567" max="2567" width="11.109375" style="147" customWidth="1"/>
    <col min="2568" max="2816" width="9" style="147"/>
    <col min="2817" max="2817" width="3.88671875" style="147" customWidth="1"/>
    <col min="2818" max="2818" width="18.6640625" style="147" customWidth="1"/>
    <col min="2819" max="2822" width="15.6640625" style="147" customWidth="1"/>
    <col min="2823" max="2823" width="11.109375" style="147" customWidth="1"/>
    <col min="2824" max="3072" width="9" style="147"/>
    <col min="3073" max="3073" width="3.88671875" style="147" customWidth="1"/>
    <col min="3074" max="3074" width="18.6640625" style="147" customWidth="1"/>
    <col min="3075" max="3078" width="15.6640625" style="147" customWidth="1"/>
    <col min="3079" max="3079" width="11.109375" style="147" customWidth="1"/>
    <col min="3080" max="3328" width="9" style="147"/>
    <col min="3329" max="3329" width="3.88671875" style="147" customWidth="1"/>
    <col min="3330" max="3330" width="18.6640625" style="147" customWidth="1"/>
    <col min="3331" max="3334" width="15.6640625" style="147" customWidth="1"/>
    <col min="3335" max="3335" width="11.109375" style="147" customWidth="1"/>
    <col min="3336" max="3584" width="9" style="147"/>
    <col min="3585" max="3585" width="3.88671875" style="147" customWidth="1"/>
    <col min="3586" max="3586" width="18.6640625" style="147" customWidth="1"/>
    <col min="3587" max="3590" width="15.6640625" style="147" customWidth="1"/>
    <col min="3591" max="3591" width="11.109375" style="147" customWidth="1"/>
    <col min="3592" max="3840" width="9" style="147"/>
    <col min="3841" max="3841" width="3.88671875" style="147" customWidth="1"/>
    <col min="3842" max="3842" width="18.6640625" style="147" customWidth="1"/>
    <col min="3843" max="3846" width="15.6640625" style="147" customWidth="1"/>
    <col min="3847" max="3847" width="11.109375" style="147" customWidth="1"/>
    <col min="3848" max="4096" width="9" style="147"/>
    <col min="4097" max="4097" width="3.88671875" style="147" customWidth="1"/>
    <col min="4098" max="4098" width="18.6640625" style="147" customWidth="1"/>
    <col min="4099" max="4102" width="15.6640625" style="147" customWidth="1"/>
    <col min="4103" max="4103" width="11.109375" style="147" customWidth="1"/>
    <col min="4104" max="4352" width="9" style="147"/>
    <col min="4353" max="4353" width="3.88671875" style="147" customWidth="1"/>
    <col min="4354" max="4354" width="18.6640625" style="147" customWidth="1"/>
    <col min="4355" max="4358" width="15.6640625" style="147" customWidth="1"/>
    <col min="4359" max="4359" width="11.109375" style="147" customWidth="1"/>
    <col min="4360" max="4608" width="9" style="147"/>
    <col min="4609" max="4609" width="3.88671875" style="147" customWidth="1"/>
    <col min="4610" max="4610" width="18.6640625" style="147" customWidth="1"/>
    <col min="4611" max="4614" width="15.6640625" style="147" customWidth="1"/>
    <col min="4615" max="4615" width="11.109375" style="147" customWidth="1"/>
    <col min="4616" max="4864" width="9" style="147"/>
    <col min="4865" max="4865" width="3.88671875" style="147" customWidth="1"/>
    <col min="4866" max="4866" width="18.6640625" style="147" customWidth="1"/>
    <col min="4867" max="4870" width="15.6640625" style="147" customWidth="1"/>
    <col min="4871" max="4871" width="11.109375" style="147" customWidth="1"/>
    <col min="4872" max="5120" width="9" style="147"/>
    <col min="5121" max="5121" width="3.88671875" style="147" customWidth="1"/>
    <col min="5122" max="5122" width="18.6640625" style="147" customWidth="1"/>
    <col min="5123" max="5126" width="15.6640625" style="147" customWidth="1"/>
    <col min="5127" max="5127" width="11.109375" style="147" customWidth="1"/>
    <col min="5128" max="5376" width="9" style="147"/>
    <col min="5377" max="5377" width="3.88671875" style="147" customWidth="1"/>
    <col min="5378" max="5378" width="18.6640625" style="147" customWidth="1"/>
    <col min="5379" max="5382" width="15.6640625" style="147" customWidth="1"/>
    <col min="5383" max="5383" width="11.109375" style="147" customWidth="1"/>
    <col min="5384" max="5632" width="9" style="147"/>
    <col min="5633" max="5633" width="3.88671875" style="147" customWidth="1"/>
    <col min="5634" max="5634" width="18.6640625" style="147" customWidth="1"/>
    <col min="5635" max="5638" width="15.6640625" style="147" customWidth="1"/>
    <col min="5639" max="5639" width="11.109375" style="147" customWidth="1"/>
    <col min="5640" max="5888" width="9" style="147"/>
    <col min="5889" max="5889" width="3.88671875" style="147" customWidth="1"/>
    <col min="5890" max="5890" width="18.6640625" style="147" customWidth="1"/>
    <col min="5891" max="5894" width="15.6640625" style="147" customWidth="1"/>
    <col min="5895" max="5895" width="11.109375" style="147" customWidth="1"/>
    <col min="5896" max="6144" width="9" style="147"/>
    <col min="6145" max="6145" width="3.88671875" style="147" customWidth="1"/>
    <col min="6146" max="6146" width="18.6640625" style="147" customWidth="1"/>
    <col min="6147" max="6150" width="15.6640625" style="147" customWidth="1"/>
    <col min="6151" max="6151" width="11.109375" style="147" customWidth="1"/>
    <col min="6152" max="6400" width="9" style="147"/>
    <col min="6401" max="6401" width="3.88671875" style="147" customWidth="1"/>
    <col min="6402" max="6402" width="18.6640625" style="147" customWidth="1"/>
    <col min="6403" max="6406" width="15.6640625" style="147" customWidth="1"/>
    <col min="6407" max="6407" width="11.109375" style="147" customWidth="1"/>
    <col min="6408" max="6656" width="9" style="147"/>
    <col min="6657" max="6657" width="3.88671875" style="147" customWidth="1"/>
    <col min="6658" max="6658" width="18.6640625" style="147" customWidth="1"/>
    <col min="6659" max="6662" width="15.6640625" style="147" customWidth="1"/>
    <col min="6663" max="6663" width="11.109375" style="147" customWidth="1"/>
    <col min="6664" max="6912" width="9" style="147"/>
    <col min="6913" max="6913" width="3.88671875" style="147" customWidth="1"/>
    <col min="6914" max="6914" width="18.6640625" style="147" customWidth="1"/>
    <col min="6915" max="6918" width="15.6640625" style="147" customWidth="1"/>
    <col min="6919" max="6919" width="11.109375" style="147" customWidth="1"/>
    <col min="6920" max="7168" width="9" style="147"/>
    <col min="7169" max="7169" width="3.88671875" style="147" customWidth="1"/>
    <col min="7170" max="7170" width="18.6640625" style="147" customWidth="1"/>
    <col min="7171" max="7174" width="15.6640625" style="147" customWidth="1"/>
    <col min="7175" max="7175" width="11.109375" style="147" customWidth="1"/>
    <col min="7176" max="7424" width="9" style="147"/>
    <col min="7425" max="7425" width="3.88671875" style="147" customWidth="1"/>
    <col min="7426" max="7426" width="18.6640625" style="147" customWidth="1"/>
    <col min="7427" max="7430" width="15.6640625" style="147" customWidth="1"/>
    <col min="7431" max="7431" width="11.109375" style="147" customWidth="1"/>
    <col min="7432" max="7680" width="9" style="147"/>
    <col min="7681" max="7681" width="3.88671875" style="147" customWidth="1"/>
    <col min="7682" max="7682" width="18.6640625" style="147" customWidth="1"/>
    <col min="7683" max="7686" width="15.6640625" style="147" customWidth="1"/>
    <col min="7687" max="7687" width="11.109375" style="147" customWidth="1"/>
    <col min="7688" max="7936" width="9" style="147"/>
    <col min="7937" max="7937" width="3.88671875" style="147" customWidth="1"/>
    <col min="7938" max="7938" width="18.6640625" style="147" customWidth="1"/>
    <col min="7939" max="7942" width="15.6640625" style="147" customWidth="1"/>
    <col min="7943" max="7943" width="11.109375" style="147" customWidth="1"/>
    <col min="7944" max="8192" width="9" style="147"/>
    <col min="8193" max="8193" width="3.88671875" style="147" customWidth="1"/>
    <col min="8194" max="8194" width="18.6640625" style="147" customWidth="1"/>
    <col min="8195" max="8198" width="15.6640625" style="147" customWidth="1"/>
    <col min="8199" max="8199" width="11.109375" style="147" customWidth="1"/>
    <col min="8200" max="8448" width="9" style="147"/>
    <col min="8449" max="8449" width="3.88671875" style="147" customWidth="1"/>
    <col min="8450" max="8450" width="18.6640625" style="147" customWidth="1"/>
    <col min="8451" max="8454" width="15.6640625" style="147" customWidth="1"/>
    <col min="8455" max="8455" width="11.109375" style="147" customWidth="1"/>
    <col min="8456" max="8704" width="9" style="147"/>
    <col min="8705" max="8705" width="3.88671875" style="147" customWidth="1"/>
    <col min="8706" max="8706" width="18.6640625" style="147" customWidth="1"/>
    <col min="8707" max="8710" width="15.6640625" style="147" customWidth="1"/>
    <col min="8711" max="8711" width="11.109375" style="147" customWidth="1"/>
    <col min="8712" max="8960" width="9" style="147"/>
    <col min="8961" max="8961" width="3.88671875" style="147" customWidth="1"/>
    <col min="8962" max="8962" width="18.6640625" style="147" customWidth="1"/>
    <col min="8963" max="8966" width="15.6640625" style="147" customWidth="1"/>
    <col min="8967" max="8967" width="11.109375" style="147" customWidth="1"/>
    <col min="8968" max="9216" width="9" style="147"/>
    <col min="9217" max="9217" width="3.88671875" style="147" customWidth="1"/>
    <col min="9218" max="9218" width="18.6640625" style="147" customWidth="1"/>
    <col min="9219" max="9222" width="15.6640625" style="147" customWidth="1"/>
    <col min="9223" max="9223" width="11.109375" style="147" customWidth="1"/>
    <col min="9224" max="9472" width="9" style="147"/>
    <col min="9473" max="9473" width="3.88671875" style="147" customWidth="1"/>
    <col min="9474" max="9474" width="18.6640625" style="147" customWidth="1"/>
    <col min="9475" max="9478" width="15.6640625" style="147" customWidth="1"/>
    <col min="9479" max="9479" width="11.109375" style="147" customWidth="1"/>
    <col min="9480" max="9728" width="9" style="147"/>
    <col min="9729" max="9729" width="3.88671875" style="147" customWidth="1"/>
    <col min="9730" max="9730" width="18.6640625" style="147" customWidth="1"/>
    <col min="9731" max="9734" width="15.6640625" style="147" customWidth="1"/>
    <col min="9735" max="9735" width="11.109375" style="147" customWidth="1"/>
    <col min="9736" max="9984" width="9" style="147"/>
    <col min="9985" max="9985" width="3.88671875" style="147" customWidth="1"/>
    <col min="9986" max="9986" width="18.6640625" style="147" customWidth="1"/>
    <col min="9987" max="9990" width="15.6640625" style="147" customWidth="1"/>
    <col min="9991" max="9991" width="11.109375" style="147" customWidth="1"/>
    <col min="9992" max="10240" width="9" style="147"/>
    <col min="10241" max="10241" width="3.88671875" style="147" customWidth="1"/>
    <col min="10242" max="10242" width="18.6640625" style="147" customWidth="1"/>
    <col min="10243" max="10246" width="15.6640625" style="147" customWidth="1"/>
    <col min="10247" max="10247" width="11.109375" style="147" customWidth="1"/>
    <col min="10248" max="10496" width="9" style="147"/>
    <col min="10497" max="10497" width="3.88671875" style="147" customWidth="1"/>
    <col min="10498" max="10498" width="18.6640625" style="147" customWidth="1"/>
    <col min="10499" max="10502" width="15.6640625" style="147" customWidth="1"/>
    <col min="10503" max="10503" width="11.109375" style="147" customWidth="1"/>
    <col min="10504" max="10752" width="9" style="147"/>
    <col min="10753" max="10753" width="3.88671875" style="147" customWidth="1"/>
    <col min="10754" max="10754" width="18.6640625" style="147" customWidth="1"/>
    <col min="10755" max="10758" width="15.6640625" style="147" customWidth="1"/>
    <col min="10759" max="10759" width="11.109375" style="147" customWidth="1"/>
    <col min="10760" max="11008" width="9" style="147"/>
    <col min="11009" max="11009" width="3.88671875" style="147" customWidth="1"/>
    <col min="11010" max="11010" width="18.6640625" style="147" customWidth="1"/>
    <col min="11011" max="11014" width="15.6640625" style="147" customWidth="1"/>
    <col min="11015" max="11015" width="11.109375" style="147" customWidth="1"/>
    <col min="11016" max="11264" width="9" style="147"/>
    <col min="11265" max="11265" width="3.88671875" style="147" customWidth="1"/>
    <col min="11266" max="11266" width="18.6640625" style="147" customWidth="1"/>
    <col min="11267" max="11270" width="15.6640625" style="147" customWidth="1"/>
    <col min="11271" max="11271" width="11.109375" style="147" customWidth="1"/>
    <col min="11272" max="11520" width="9" style="147"/>
    <col min="11521" max="11521" width="3.88671875" style="147" customWidth="1"/>
    <col min="11522" max="11522" width="18.6640625" style="147" customWidth="1"/>
    <col min="11523" max="11526" width="15.6640625" style="147" customWidth="1"/>
    <col min="11527" max="11527" width="11.109375" style="147" customWidth="1"/>
    <col min="11528" max="11776" width="9" style="147"/>
    <col min="11777" max="11777" width="3.88671875" style="147" customWidth="1"/>
    <col min="11778" max="11778" width="18.6640625" style="147" customWidth="1"/>
    <col min="11779" max="11782" width="15.6640625" style="147" customWidth="1"/>
    <col min="11783" max="11783" width="11.109375" style="147" customWidth="1"/>
    <col min="11784" max="12032" width="9" style="147"/>
    <col min="12033" max="12033" width="3.88671875" style="147" customWidth="1"/>
    <col min="12034" max="12034" width="18.6640625" style="147" customWidth="1"/>
    <col min="12035" max="12038" width="15.6640625" style="147" customWidth="1"/>
    <col min="12039" max="12039" width="11.109375" style="147" customWidth="1"/>
    <col min="12040" max="12288" width="9" style="147"/>
    <col min="12289" max="12289" width="3.88671875" style="147" customWidth="1"/>
    <col min="12290" max="12290" width="18.6640625" style="147" customWidth="1"/>
    <col min="12291" max="12294" width="15.6640625" style="147" customWidth="1"/>
    <col min="12295" max="12295" width="11.109375" style="147" customWidth="1"/>
    <col min="12296" max="12544" width="9" style="147"/>
    <col min="12545" max="12545" width="3.88671875" style="147" customWidth="1"/>
    <col min="12546" max="12546" width="18.6640625" style="147" customWidth="1"/>
    <col min="12547" max="12550" width="15.6640625" style="147" customWidth="1"/>
    <col min="12551" max="12551" width="11.109375" style="147" customWidth="1"/>
    <col min="12552" max="12800" width="9" style="147"/>
    <col min="12801" max="12801" width="3.88671875" style="147" customWidth="1"/>
    <col min="12802" max="12802" width="18.6640625" style="147" customWidth="1"/>
    <col min="12803" max="12806" width="15.6640625" style="147" customWidth="1"/>
    <col min="12807" max="12807" width="11.109375" style="147" customWidth="1"/>
    <col min="12808" max="13056" width="9" style="147"/>
    <col min="13057" max="13057" width="3.88671875" style="147" customWidth="1"/>
    <col min="13058" max="13058" width="18.6640625" style="147" customWidth="1"/>
    <col min="13059" max="13062" width="15.6640625" style="147" customWidth="1"/>
    <col min="13063" max="13063" width="11.109375" style="147" customWidth="1"/>
    <col min="13064" max="13312" width="9" style="147"/>
    <col min="13313" max="13313" width="3.88671875" style="147" customWidth="1"/>
    <col min="13314" max="13314" width="18.6640625" style="147" customWidth="1"/>
    <col min="13315" max="13318" width="15.6640625" style="147" customWidth="1"/>
    <col min="13319" max="13319" width="11.109375" style="147" customWidth="1"/>
    <col min="13320" max="13568" width="9" style="147"/>
    <col min="13569" max="13569" width="3.88671875" style="147" customWidth="1"/>
    <col min="13570" max="13570" width="18.6640625" style="147" customWidth="1"/>
    <col min="13571" max="13574" width="15.6640625" style="147" customWidth="1"/>
    <col min="13575" max="13575" width="11.109375" style="147" customWidth="1"/>
    <col min="13576" max="13824" width="9" style="147"/>
    <col min="13825" max="13825" width="3.88671875" style="147" customWidth="1"/>
    <col min="13826" max="13826" width="18.6640625" style="147" customWidth="1"/>
    <col min="13827" max="13830" width="15.6640625" style="147" customWidth="1"/>
    <col min="13831" max="13831" width="11.109375" style="147" customWidth="1"/>
    <col min="13832" max="14080" width="9" style="147"/>
    <col min="14081" max="14081" width="3.88671875" style="147" customWidth="1"/>
    <col min="14082" max="14082" width="18.6640625" style="147" customWidth="1"/>
    <col min="14083" max="14086" width="15.6640625" style="147" customWidth="1"/>
    <col min="14087" max="14087" width="11.109375" style="147" customWidth="1"/>
    <col min="14088" max="14336" width="9" style="147"/>
    <col min="14337" max="14337" width="3.88671875" style="147" customWidth="1"/>
    <col min="14338" max="14338" width="18.6640625" style="147" customWidth="1"/>
    <col min="14339" max="14342" width="15.6640625" style="147" customWidth="1"/>
    <col min="14343" max="14343" width="11.109375" style="147" customWidth="1"/>
    <col min="14344" max="14592" width="9" style="147"/>
    <col min="14593" max="14593" width="3.88671875" style="147" customWidth="1"/>
    <col min="14594" max="14594" width="18.6640625" style="147" customWidth="1"/>
    <col min="14595" max="14598" width="15.6640625" style="147" customWidth="1"/>
    <col min="14599" max="14599" width="11.109375" style="147" customWidth="1"/>
    <col min="14600" max="14848" width="9" style="147"/>
    <col min="14849" max="14849" width="3.88671875" style="147" customWidth="1"/>
    <col min="14850" max="14850" width="18.6640625" style="147" customWidth="1"/>
    <col min="14851" max="14854" width="15.6640625" style="147" customWidth="1"/>
    <col min="14855" max="14855" width="11.109375" style="147" customWidth="1"/>
    <col min="14856" max="15104" width="9" style="147"/>
    <col min="15105" max="15105" width="3.88671875" style="147" customWidth="1"/>
    <col min="15106" max="15106" width="18.6640625" style="147" customWidth="1"/>
    <col min="15107" max="15110" width="15.6640625" style="147" customWidth="1"/>
    <col min="15111" max="15111" width="11.109375" style="147" customWidth="1"/>
    <col min="15112" max="15360" width="9" style="147"/>
    <col min="15361" max="15361" width="3.88671875" style="147" customWidth="1"/>
    <col min="15362" max="15362" width="18.6640625" style="147" customWidth="1"/>
    <col min="15363" max="15366" width="15.6640625" style="147" customWidth="1"/>
    <col min="15367" max="15367" width="11.109375" style="147" customWidth="1"/>
    <col min="15368" max="15616" width="9" style="147"/>
    <col min="15617" max="15617" width="3.88671875" style="147" customWidth="1"/>
    <col min="15618" max="15618" width="18.6640625" style="147" customWidth="1"/>
    <col min="15619" max="15622" width="15.6640625" style="147" customWidth="1"/>
    <col min="15623" max="15623" width="11.109375" style="147" customWidth="1"/>
    <col min="15624" max="15872" width="9" style="147"/>
    <col min="15873" max="15873" width="3.88671875" style="147" customWidth="1"/>
    <col min="15874" max="15874" width="18.6640625" style="147" customWidth="1"/>
    <col min="15875" max="15878" width="15.6640625" style="147" customWidth="1"/>
    <col min="15879" max="15879" width="11.109375" style="147" customWidth="1"/>
    <col min="15880" max="16128" width="9" style="147"/>
    <col min="16129" max="16129" width="3.88671875" style="147" customWidth="1"/>
    <col min="16130" max="16130" width="18.6640625" style="147" customWidth="1"/>
    <col min="16131" max="16134" width="15.6640625" style="147" customWidth="1"/>
    <col min="16135" max="16135" width="11.109375" style="147" customWidth="1"/>
    <col min="16136" max="16384" width="9" style="147"/>
  </cols>
  <sheetData>
    <row r="1" spans="1:7" x14ac:dyDescent="0.2">
      <c r="A1" s="162"/>
      <c r="B1" s="162"/>
      <c r="C1" s="162"/>
      <c r="D1" s="162"/>
      <c r="E1" s="162"/>
      <c r="F1" s="163" t="s">
        <v>199</v>
      </c>
      <c r="G1" s="162"/>
    </row>
    <row r="2" spans="1:7" ht="24" customHeight="1" x14ac:dyDescent="0.2">
      <c r="A2" s="249" t="s">
        <v>250</v>
      </c>
      <c r="B2" s="249"/>
      <c r="C2" s="249"/>
      <c r="D2" s="249"/>
      <c r="E2" s="249"/>
      <c r="F2" s="249"/>
      <c r="G2" s="162"/>
    </row>
    <row r="3" spans="1:7" ht="9.75" customHeight="1" x14ac:dyDescent="0.2">
      <c r="A3" s="164"/>
      <c r="B3" s="164"/>
      <c r="C3" s="164"/>
      <c r="D3" s="164"/>
      <c r="E3" s="164"/>
      <c r="F3" s="164"/>
      <c r="G3" s="162"/>
    </row>
    <row r="4" spans="1:7" ht="16.5" customHeight="1" x14ac:dyDescent="0.2">
      <c r="A4" s="164"/>
      <c r="B4" s="250" t="s">
        <v>252</v>
      </c>
      <c r="C4" s="251"/>
      <c r="D4" s="251"/>
      <c r="E4" s="251"/>
      <c r="F4" s="251"/>
      <c r="G4" s="162"/>
    </row>
    <row r="5" spans="1:7" x14ac:dyDescent="0.2">
      <c r="A5" s="162"/>
      <c r="B5" s="162"/>
      <c r="C5" s="162"/>
      <c r="D5" s="162"/>
      <c r="E5" s="162"/>
      <c r="F5" s="163" t="s">
        <v>200</v>
      </c>
      <c r="G5" s="162"/>
    </row>
    <row r="6" spans="1:7" ht="20.100000000000001" customHeight="1" x14ac:dyDescent="0.2">
      <c r="A6" s="165"/>
      <c r="B6" s="166" t="s">
        <v>201</v>
      </c>
      <c r="C6" s="167" t="s">
        <v>251</v>
      </c>
      <c r="D6" s="166" t="s">
        <v>202</v>
      </c>
      <c r="E6" s="166" t="s">
        <v>203</v>
      </c>
      <c r="F6" s="166" t="s">
        <v>204</v>
      </c>
      <c r="G6" s="162"/>
    </row>
    <row r="7" spans="1:7" ht="20.100000000000001" customHeight="1" x14ac:dyDescent="0.2">
      <c r="A7" s="146"/>
      <c r="B7" s="168" t="s">
        <v>205</v>
      </c>
      <c r="C7" s="169"/>
      <c r="D7" s="169"/>
      <c r="E7" s="169"/>
      <c r="F7" s="170"/>
      <c r="G7" s="162"/>
    </row>
    <row r="8" spans="1:7" ht="20.100000000000001" customHeight="1" x14ac:dyDescent="0.2">
      <c r="A8" s="171">
        <v>1</v>
      </c>
      <c r="B8" s="172" t="s">
        <v>206</v>
      </c>
      <c r="C8" s="173"/>
      <c r="D8" s="173"/>
      <c r="E8" s="173">
        <f t="shared" ref="E8:E15" si="0">C8-D8</f>
        <v>0</v>
      </c>
      <c r="F8" s="174"/>
      <c r="G8" s="162"/>
    </row>
    <row r="9" spans="1:7" ht="20.100000000000001" customHeight="1" x14ac:dyDescent="0.2">
      <c r="A9" s="171">
        <v>2</v>
      </c>
      <c r="B9" s="172" t="s">
        <v>207</v>
      </c>
      <c r="C9" s="173"/>
      <c r="D9" s="173"/>
      <c r="E9" s="173">
        <f t="shared" si="0"/>
        <v>0</v>
      </c>
      <c r="F9" s="174"/>
      <c r="G9" s="162"/>
    </row>
    <row r="10" spans="1:7" ht="20.100000000000001" customHeight="1" x14ac:dyDescent="0.2">
      <c r="A10" s="171">
        <v>3</v>
      </c>
      <c r="B10" s="172" t="s">
        <v>208</v>
      </c>
      <c r="C10" s="173"/>
      <c r="D10" s="173"/>
      <c r="E10" s="173">
        <f t="shared" si="0"/>
        <v>0</v>
      </c>
      <c r="F10" s="174"/>
      <c r="G10" s="162"/>
    </row>
    <row r="11" spans="1:7" ht="20.100000000000001" customHeight="1" x14ac:dyDescent="0.2">
      <c r="A11" s="171">
        <v>4</v>
      </c>
      <c r="B11" s="172" t="s">
        <v>209</v>
      </c>
      <c r="C11" s="173"/>
      <c r="D11" s="173"/>
      <c r="E11" s="173">
        <f t="shared" si="0"/>
        <v>0</v>
      </c>
      <c r="F11" s="174"/>
      <c r="G11" s="162"/>
    </row>
    <row r="12" spans="1:7" ht="20.100000000000001" customHeight="1" x14ac:dyDescent="0.2">
      <c r="A12" s="171">
        <v>5</v>
      </c>
      <c r="B12" s="172" t="s">
        <v>210</v>
      </c>
      <c r="C12" s="173"/>
      <c r="D12" s="173"/>
      <c r="E12" s="173">
        <f t="shared" si="0"/>
        <v>0</v>
      </c>
      <c r="F12" s="174"/>
      <c r="G12" s="162"/>
    </row>
    <row r="13" spans="1:7" ht="20.100000000000001" customHeight="1" x14ac:dyDescent="0.2">
      <c r="A13" s="171">
        <v>6</v>
      </c>
      <c r="B13" s="172" t="s">
        <v>211</v>
      </c>
      <c r="C13" s="173"/>
      <c r="D13" s="173"/>
      <c r="E13" s="173">
        <f t="shared" si="0"/>
        <v>0</v>
      </c>
      <c r="F13" s="174"/>
      <c r="G13" s="162"/>
    </row>
    <row r="14" spans="1:7" ht="20.100000000000001" customHeight="1" x14ac:dyDescent="0.2">
      <c r="A14" s="171">
        <v>7</v>
      </c>
      <c r="B14" s="172" t="s">
        <v>212</v>
      </c>
      <c r="C14" s="173">
        <v>111630</v>
      </c>
      <c r="D14" s="173">
        <v>144000</v>
      </c>
      <c r="E14" s="173">
        <f t="shared" si="0"/>
        <v>-32370</v>
      </c>
      <c r="F14" s="174" t="s">
        <v>253</v>
      </c>
      <c r="G14" s="162"/>
    </row>
    <row r="15" spans="1:7" ht="20.100000000000001" customHeight="1" x14ac:dyDescent="0.2">
      <c r="A15" s="171">
        <v>8</v>
      </c>
      <c r="B15" s="172" t="s">
        <v>213</v>
      </c>
      <c r="C15" s="173"/>
      <c r="D15" s="173"/>
      <c r="E15" s="173">
        <f t="shared" si="0"/>
        <v>0</v>
      </c>
      <c r="F15" s="174"/>
      <c r="G15" s="162"/>
    </row>
    <row r="16" spans="1:7" ht="20.100000000000001" customHeight="1" x14ac:dyDescent="0.2">
      <c r="A16" s="175"/>
      <c r="B16" s="176" t="s">
        <v>214</v>
      </c>
      <c r="C16" s="177">
        <f>SUM(C8:C15)</f>
        <v>111630</v>
      </c>
      <c r="D16" s="177">
        <f>SUM(D8:D15)</f>
        <v>144000</v>
      </c>
      <c r="E16" s="177">
        <f>SUM(E8:E15)</f>
        <v>-32370</v>
      </c>
      <c r="F16" s="178"/>
      <c r="G16" s="162"/>
    </row>
    <row r="17" spans="1:7" ht="20.100000000000001" customHeight="1" x14ac:dyDescent="0.2">
      <c r="A17" s="146"/>
      <c r="B17" s="168" t="s">
        <v>215</v>
      </c>
      <c r="C17" s="179"/>
      <c r="D17" s="179"/>
      <c r="E17" s="179"/>
      <c r="F17" s="170"/>
      <c r="G17" s="162"/>
    </row>
    <row r="18" spans="1:7" ht="20.100000000000001" customHeight="1" x14ac:dyDescent="0.2">
      <c r="A18" s="171">
        <v>1</v>
      </c>
      <c r="B18" s="172" t="s">
        <v>137</v>
      </c>
      <c r="C18" s="173">
        <v>46948</v>
      </c>
      <c r="D18" s="173">
        <v>61776</v>
      </c>
      <c r="E18" s="173">
        <f t="shared" ref="E18:E31" si="1">C18-D18</f>
        <v>-14828</v>
      </c>
      <c r="F18" s="174" t="s">
        <v>254</v>
      </c>
      <c r="G18" s="162"/>
    </row>
    <row r="19" spans="1:7" ht="20.100000000000001" customHeight="1" x14ac:dyDescent="0.2">
      <c r="A19" s="171">
        <v>2</v>
      </c>
      <c r="B19" s="172" t="s">
        <v>138</v>
      </c>
      <c r="C19" s="173">
        <v>36050</v>
      </c>
      <c r="D19" s="173">
        <v>31650</v>
      </c>
      <c r="E19" s="173">
        <f t="shared" si="1"/>
        <v>4400</v>
      </c>
      <c r="F19" s="195" t="s">
        <v>255</v>
      </c>
      <c r="G19" s="162"/>
    </row>
    <row r="20" spans="1:7" ht="20.100000000000001" customHeight="1" x14ac:dyDescent="0.2">
      <c r="A20" s="171">
        <v>3</v>
      </c>
      <c r="B20" s="172" t="s">
        <v>216</v>
      </c>
      <c r="C20" s="173"/>
      <c r="D20" s="173"/>
      <c r="E20" s="173">
        <f t="shared" si="1"/>
        <v>0</v>
      </c>
      <c r="F20" s="174"/>
      <c r="G20" s="162"/>
    </row>
    <row r="21" spans="1:7" ht="20.100000000000001" customHeight="1" x14ac:dyDescent="0.2">
      <c r="A21" s="171">
        <v>4</v>
      </c>
      <c r="B21" s="172" t="s">
        <v>217</v>
      </c>
      <c r="C21" s="173"/>
      <c r="D21" s="173"/>
      <c r="E21" s="173">
        <f t="shared" si="1"/>
        <v>0</v>
      </c>
      <c r="F21" s="174"/>
      <c r="G21" s="162"/>
    </row>
    <row r="22" spans="1:7" ht="20.100000000000001" customHeight="1" x14ac:dyDescent="0.2">
      <c r="A22" s="171">
        <v>5</v>
      </c>
      <c r="B22" s="172" t="s">
        <v>218</v>
      </c>
      <c r="C22" s="173"/>
      <c r="D22" s="173"/>
      <c r="E22" s="173">
        <f t="shared" si="1"/>
        <v>0</v>
      </c>
      <c r="F22" s="174"/>
      <c r="G22" s="162"/>
    </row>
    <row r="23" spans="1:7" ht="20.100000000000001" customHeight="1" x14ac:dyDescent="0.2">
      <c r="A23" s="171">
        <v>6</v>
      </c>
      <c r="B23" s="172" t="s">
        <v>219</v>
      </c>
      <c r="C23" s="173"/>
      <c r="D23" s="173"/>
      <c r="E23" s="173">
        <f t="shared" si="1"/>
        <v>0</v>
      </c>
      <c r="F23" s="174"/>
      <c r="G23" s="162"/>
    </row>
    <row r="24" spans="1:7" ht="20.100000000000001" customHeight="1" x14ac:dyDescent="0.2">
      <c r="A24" s="171">
        <v>7</v>
      </c>
      <c r="B24" s="172" t="s">
        <v>220</v>
      </c>
      <c r="C24" s="173"/>
      <c r="D24" s="173"/>
      <c r="E24" s="173">
        <f t="shared" si="1"/>
        <v>0</v>
      </c>
      <c r="F24" s="174"/>
      <c r="G24" s="162"/>
    </row>
    <row r="25" spans="1:7" ht="20.100000000000001" customHeight="1" x14ac:dyDescent="0.2">
      <c r="A25" s="180">
        <v>8</v>
      </c>
      <c r="B25" s="172" t="s">
        <v>221</v>
      </c>
      <c r="C25" s="173"/>
      <c r="D25" s="173"/>
      <c r="E25" s="173">
        <f t="shared" si="1"/>
        <v>0</v>
      </c>
      <c r="F25" s="174"/>
      <c r="G25" s="162"/>
    </row>
    <row r="26" spans="1:7" ht="20.100000000000001" customHeight="1" x14ac:dyDescent="0.2">
      <c r="A26" s="180">
        <v>9</v>
      </c>
      <c r="B26" s="172" t="s">
        <v>222</v>
      </c>
      <c r="C26" s="173"/>
      <c r="D26" s="173"/>
      <c r="E26" s="173">
        <f t="shared" si="1"/>
        <v>0</v>
      </c>
      <c r="F26" s="174"/>
      <c r="G26" s="162"/>
    </row>
    <row r="27" spans="1:7" ht="20.100000000000001" customHeight="1" x14ac:dyDescent="0.2">
      <c r="A27" s="180">
        <v>10</v>
      </c>
      <c r="B27" s="172" t="s">
        <v>223</v>
      </c>
      <c r="C27" s="173"/>
      <c r="D27" s="173"/>
      <c r="E27" s="173">
        <f t="shared" si="1"/>
        <v>0</v>
      </c>
      <c r="F27" s="174"/>
      <c r="G27" s="162"/>
    </row>
    <row r="28" spans="1:7" ht="20.100000000000001" customHeight="1" x14ac:dyDescent="0.2">
      <c r="A28" s="180">
        <v>11</v>
      </c>
      <c r="B28" s="172" t="s">
        <v>224</v>
      </c>
      <c r="C28" s="173"/>
      <c r="D28" s="173"/>
      <c r="E28" s="173">
        <f t="shared" si="1"/>
        <v>0</v>
      </c>
      <c r="F28" s="174"/>
      <c r="G28" s="162"/>
    </row>
    <row r="29" spans="1:7" ht="20.100000000000001" customHeight="1" x14ac:dyDescent="0.2">
      <c r="A29" s="180">
        <v>12</v>
      </c>
      <c r="B29" s="172" t="s">
        <v>225</v>
      </c>
      <c r="C29" s="173">
        <v>28632</v>
      </c>
      <c r="D29" s="173">
        <v>48597</v>
      </c>
      <c r="E29" s="173">
        <f t="shared" si="1"/>
        <v>-19965</v>
      </c>
      <c r="F29" s="174" t="s">
        <v>259</v>
      </c>
      <c r="G29" s="162"/>
    </row>
    <row r="30" spans="1:7" ht="20.100000000000001" customHeight="1" x14ac:dyDescent="0.2">
      <c r="A30" s="180">
        <v>13</v>
      </c>
      <c r="B30" s="172" t="s">
        <v>226</v>
      </c>
      <c r="C30" s="173"/>
      <c r="D30" s="173"/>
      <c r="E30" s="173">
        <f t="shared" si="1"/>
        <v>0</v>
      </c>
      <c r="F30" s="174"/>
      <c r="G30" s="162"/>
    </row>
    <row r="31" spans="1:7" ht="20.100000000000001" customHeight="1" x14ac:dyDescent="0.2">
      <c r="A31" s="180">
        <v>14</v>
      </c>
      <c r="B31" s="172" t="s">
        <v>227</v>
      </c>
      <c r="C31" s="173">
        <v>0</v>
      </c>
      <c r="D31" s="173">
        <v>1977</v>
      </c>
      <c r="E31" s="173">
        <f t="shared" si="1"/>
        <v>-1977</v>
      </c>
      <c r="F31" s="174"/>
      <c r="G31" s="162"/>
    </row>
    <row r="32" spans="1:7" ht="20.100000000000001" customHeight="1" x14ac:dyDescent="0.2">
      <c r="A32" s="181"/>
      <c r="B32" s="172" t="s">
        <v>228</v>
      </c>
      <c r="C32" s="173">
        <f>SUM(C18:C31)</f>
        <v>111630</v>
      </c>
      <c r="D32" s="173">
        <f>SUM(D18:D31)</f>
        <v>144000</v>
      </c>
      <c r="E32" s="173">
        <f>SUM(E18:E31)</f>
        <v>-32370</v>
      </c>
      <c r="F32" s="174"/>
      <c r="G32" s="162"/>
    </row>
    <row r="33" spans="1:7" ht="20.100000000000001" customHeight="1" x14ac:dyDescent="0.2">
      <c r="A33" s="181"/>
      <c r="B33" s="172" t="s">
        <v>229</v>
      </c>
      <c r="C33" s="173">
        <f>C16-C32</f>
        <v>0</v>
      </c>
      <c r="D33" s="173">
        <f>D16-D32</f>
        <v>0</v>
      </c>
      <c r="E33" s="173">
        <f>E16-E32</f>
        <v>0</v>
      </c>
      <c r="F33" s="174"/>
      <c r="G33" s="162"/>
    </row>
    <row r="34" spans="1:7" ht="15" customHeight="1" x14ac:dyDescent="0.2">
      <c r="A34" s="162"/>
      <c r="B34" s="182"/>
      <c r="C34" s="162"/>
      <c r="D34" s="162"/>
      <c r="E34" s="162"/>
      <c r="F34" s="162"/>
      <c r="G34" s="162"/>
    </row>
    <row r="35" spans="1:7" ht="15" customHeight="1" x14ac:dyDescent="0.2">
      <c r="A35" s="162"/>
      <c r="B35" s="182"/>
      <c r="C35" s="162"/>
      <c r="D35" s="162"/>
      <c r="E35" s="162"/>
      <c r="F35" s="162"/>
      <c r="G35" s="162"/>
    </row>
  </sheetData>
  <mergeCells count="2">
    <mergeCell ref="A2:F2"/>
    <mergeCell ref="B4:F4"/>
  </mergeCells>
  <phoneticPr fontId="18"/>
  <printOptions horizontalCentered="1"/>
  <pageMargins left="0.78740157480314965" right="0.78740157480314965" top="0.98425196850393704" bottom="0.98425196850393704" header="0.51181102362204722" footer="0.5118110236220472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4CD53-86EF-4C33-BEA0-353FFFD05F61}">
  <sheetPr>
    <pageSetUpPr fitToPage="1"/>
  </sheetPr>
  <dimension ref="A1:J32"/>
  <sheetViews>
    <sheetView view="pageBreakPreview" topLeftCell="A13" zoomScaleNormal="100" zoomScaleSheetLayoutView="100" workbookViewId="0">
      <selection activeCell="G19" sqref="G19"/>
    </sheetView>
  </sheetViews>
  <sheetFormatPr defaultRowHeight="13.2" x14ac:dyDescent="0.2"/>
  <cols>
    <col min="1" max="1" width="1.6640625" style="147" customWidth="1"/>
    <col min="2" max="2" width="3.6640625" style="147" customWidth="1"/>
    <col min="3" max="3" width="1.6640625" style="147" customWidth="1"/>
    <col min="4" max="4" width="14.6640625" style="147" customWidth="1"/>
    <col min="5" max="5" width="11.6640625" style="147" customWidth="1"/>
    <col min="6" max="6" width="20.88671875" style="147" customWidth="1"/>
    <col min="7" max="9" width="14.88671875" style="147" customWidth="1"/>
    <col min="10" max="10" width="4.109375" style="147" customWidth="1"/>
    <col min="11" max="256" width="9" style="147"/>
    <col min="257" max="257" width="1.6640625" style="147" customWidth="1"/>
    <col min="258" max="258" width="3.6640625" style="147" customWidth="1"/>
    <col min="259" max="259" width="1.6640625" style="147" customWidth="1"/>
    <col min="260" max="260" width="14.6640625" style="147" customWidth="1"/>
    <col min="261" max="261" width="11.6640625" style="147" customWidth="1"/>
    <col min="262" max="262" width="20.88671875" style="147" customWidth="1"/>
    <col min="263" max="265" width="14.88671875" style="147" customWidth="1"/>
    <col min="266" max="266" width="4.109375" style="147" customWidth="1"/>
    <col min="267" max="512" width="9" style="147"/>
    <col min="513" max="513" width="1.6640625" style="147" customWidth="1"/>
    <col min="514" max="514" width="3.6640625" style="147" customWidth="1"/>
    <col min="515" max="515" width="1.6640625" style="147" customWidth="1"/>
    <col min="516" max="516" width="14.6640625" style="147" customWidth="1"/>
    <col min="517" max="517" width="11.6640625" style="147" customWidth="1"/>
    <col min="518" max="518" width="20.88671875" style="147" customWidth="1"/>
    <col min="519" max="521" width="14.88671875" style="147" customWidth="1"/>
    <col min="522" max="522" width="4.109375" style="147" customWidth="1"/>
    <col min="523" max="768" width="9" style="147"/>
    <col min="769" max="769" width="1.6640625" style="147" customWidth="1"/>
    <col min="770" max="770" width="3.6640625" style="147" customWidth="1"/>
    <col min="771" max="771" width="1.6640625" style="147" customWidth="1"/>
    <col min="772" max="772" width="14.6640625" style="147" customWidth="1"/>
    <col min="773" max="773" width="11.6640625" style="147" customWidth="1"/>
    <col min="774" max="774" width="20.88671875" style="147" customWidth="1"/>
    <col min="775" max="777" width="14.88671875" style="147" customWidth="1"/>
    <col min="778" max="778" width="4.109375" style="147" customWidth="1"/>
    <col min="779" max="1024" width="9" style="147"/>
    <col min="1025" max="1025" width="1.6640625" style="147" customWidth="1"/>
    <col min="1026" max="1026" width="3.6640625" style="147" customWidth="1"/>
    <col min="1027" max="1027" width="1.6640625" style="147" customWidth="1"/>
    <col min="1028" max="1028" width="14.6640625" style="147" customWidth="1"/>
    <col min="1029" max="1029" width="11.6640625" style="147" customWidth="1"/>
    <col min="1030" max="1030" width="20.88671875" style="147" customWidth="1"/>
    <col min="1031" max="1033" width="14.88671875" style="147" customWidth="1"/>
    <col min="1034" max="1034" width="4.109375" style="147" customWidth="1"/>
    <col min="1035" max="1280" width="9" style="147"/>
    <col min="1281" max="1281" width="1.6640625" style="147" customWidth="1"/>
    <col min="1282" max="1282" width="3.6640625" style="147" customWidth="1"/>
    <col min="1283" max="1283" width="1.6640625" style="147" customWidth="1"/>
    <col min="1284" max="1284" width="14.6640625" style="147" customWidth="1"/>
    <col min="1285" max="1285" width="11.6640625" style="147" customWidth="1"/>
    <col min="1286" max="1286" width="20.88671875" style="147" customWidth="1"/>
    <col min="1287" max="1289" width="14.88671875" style="147" customWidth="1"/>
    <col min="1290" max="1290" width="4.109375" style="147" customWidth="1"/>
    <col min="1291" max="1536" width="9" style="147"/>
    <col min="1537" max="1537" width="1.6640625" style="147" customWidth="1"/>
    <col min="1538" max="1538" width="3.6640625" style="147" customWidth="1"/>
    <col min="1539" max="1539" width="1.6640625" style="147" customWidth="1"/>
    <col min="1540" max="1540" width="14.6640625" style="147" customWidth="1"/>
    <col min="1541" max="1541" width="11.6640625" style="147" customWidth="1"/>
    <col min="1542" max="1542" width="20.88671875" style="147" customWidth="1"/>
    <col min="1543" max="1545" width="14.88671875" style="147" customWidth="1"/>
    <col min="1546" max="1546" width="4.109375" style="147" customWidth="1"/>
    <col min="1547" max="1792" width="9" style="147"/>
    <col min="1793" max="1793" width="1.6640625" style="147" customWidth="1"/>
    <col min="1794" max="1794" width="3.6640625" style="147" customWidth="1"/>
    <col min="1795" max="1795" width="1.6640625" style="147" customWidth="1"/>
    <col min="1796" max="1796" width="14.6640625" style="147" customWidth="1"/>
    <col min="1797" max="1797" width="11.6640625" style="147" customWidth="1"/>
    <col min="1798" max="1798" width="20.88671875" style="147" customWidth="1"/>
    <col min="1799" max="1801" width="14.88671875" style="147" customWidth="1"/>
    <col min="1802" max="1802" width="4.109375" style="147" customWidth="1"/>
    <col min="1803" max="2048" width="9" style="147"/>
    <col min="2049" max="2049" width="1.6640625" style="147" customWidth="1"/>
    <col min="2050" max="2050" width="3.6640625" style="147" customWidth="1"/>
    <col min="2051" max="2051" width="1.6640625" style="147" customWidth="1"/>
    <col min="2052" max="2052" width="14.6640625" style="147" customWidth="1"/>
    <col min="2053" max="2053" width="11.6640625" style="147" customWidth="1"/>
    <col min="2054" max="2054" width="20.88671875" style="147" customWidth="1"/>
    <col min="2055" max="2057" width="14.88671875" style="147" customWidth="1"/>
    <col min="2058" max="2058" width="4.109375" style="147" customWidth="1"/>
    <col min="2059" max="2304" width="9" style="147"/>
    <col min="2305" max="2305" width="1.6640625" style="147" customWidth="1"/>
    <col min="2306" max="2306" width="3.6640625" style="147" customWidth="1"/>
    <col min="2307" max="2307" width="1.6640625" style="147" customWidth="1"/>
    <col min="2308" max="2308" width="14.6640625" style="147" customWidth="1"/>
    <col min="2309" max="2309" width="11.6640625" style="147" customWidth="1"/>
    <col min="2310" max="2310" width="20.88671875" style="147" customWidth="1"/>
    <col min="2311" max="2313" width="14.88671875" style="147" customWidth="1"/>
    <col min="2314" max="2314" width="4.109375" style="147" customWidth="1"/>
    <col min="2315" max="2560" width="9" style="147"/>
    <col min="2561" max="2561" width="1.6640625" style="147" customWidth="1"/>
    <col min="2562" max="2562" width="3.6640625" style="147" customWidth="1"/>
    <col min="2563" max="2563" width="1.6640625" style="147" customWidth="1"/>
    <col min="2564" max="2564" width="14.6640625" style="147" customWidth="1"/>
    <col min="2565" max="2565" width="11.6640625" style="147" customWidth="1"/>
    <col min="2566" max="2566" width="20.88671875" style="147" customWidth="1"/>
    <col min="2567" max="2569" width="14.88671875" style="147" customWidth="1"/>
    <col min="2570" max="2570" width="4.109375" style="147" customWidth="1"/>
    <col min="2571" max="2816" width="9" style="147"/>
    <col min="2817" max="2817" width="1.6640625" style="147" customWidth="1"/>
    <col min="2818" max="2818" width="3.6640625" style="147" customWidth="1"/>
    <col min="2819" max="2819" width="1.6640625" style="147" customWidth="1"/>
    <col min="2820" max="2820" width="14.6640625" style="147" customWidth="1"/>
    <col min="2821" max="2821" width="11.6640625" style="147" customWidth="1"/>
    <col min="2822" max="2822" width="20.88671875" style="147" customWidth="1"/>
    <col min="2823" max="2825" width="14.88671875" style="147" customWidth="1"/>
    <col min="2826" max="2826" width="4.109375" style="147" customWidth="1"/>
    <col min="2827" max="3072" width="9" style="147"/>
    <col min="3073" max="3073" width="1.6640625" style="147" customWidth="1"/>
    <col min="3074" max="3074" width="3.6640625" style="147" customWidth="1"/>
    <col min="3075" max="3075" width="1.6640625" style="147" customWidth="1"/>
    <col min="3076" max="3076" width="14.6640625" style="147" customWidth="1"/>
    <col min="3077" max="3077" width="11.6640625" style="147" customWidth="1"/>
    <col min="3078" max="3078" width="20.88671875" style="147" customWidth="1"/>
    <col min="3079" max="3081" width="14.88671875" style="147" customWidth="1"/>
    <col min="3082" max="3082" width="4.109375" style="147" customWidth="1"/>
    <col min="3083" max="3328" width="9" style="147"/>
    <col min="3329" max="3329" width="1.6640625" style="147" customWidth="1"/>
    <col min="3330" max="3330" width="3.6640625" style="147" customWidth="1"/>
    <col min="3331" max="3331" width="1.6640625" style="147" customWidth="1"/>
    <col min="3332" max="3332" width="14.6640625" style="147" customWidth="1"/>
    <col min="3333" max="3333" width="11.6640625" style="147" customWidth="1"/>
    <col min="3334" max="3334" width="20.88671875" style="147" customWidth="1"/>
    <col min="3335" max="3337" width="14.88671875" style="147" customWidth="1"/>
    <col min="3338" max="3338" width="4.109375" style="147" customWidth="1"/>
    <col min="3339" max="3584" width="9" style="147"/>
    <col min="3585" max="3585" width="1.6640625" style="147" customWidth="1"/>
    <col min="3586" max="3586" width="3.6640625" style="147" customWidth="1"/>
    <col min="3587" max="3587" width="1.6640625" style="147" customWidth="1"/>
    <col min="3588" max="3588" width="14.6640625" style="147" customWidth="1"/>
    <col min="3589" max="3589" width="11.6640625" style="147" customWidth="1"/>
    <col min="3590" max="3590" width="20.88671875" style="147" customWidth="1"/>
    <col min="3591" max="3593" width="14.88671875" style="147" customWidth="1"/>
    <col min="3594" max="3594" width="4.109375" style="147" customWidth="1"/>
    <col min="3595" max="3840" width="9" style="147"/>
    <col min="3841" max="3841" width="1.6640625" style="147" customWidth="1"/>
    <col min="3842" max="3842" width="3.6640625" style="147" customWidth="1"/>
    <col min="3843" max="3843" width="1.6640625" style="147" customWidth="1"/>
    <col min="3844" max="3844" width="14.6640625" style="147" customWidth="1"/>
    <col min="3845" max="3845" width="11.6640625" style="147" customWidth="1"/>
    <col min="3846" max="3846" width="20.88671875" style="147" customWidth="1"/>
    <col min="3847" max="3849" width="14.88671875" style="147" customWidth="1"/>
    <col min="3850" max="3850" width="4.109375" style="147" customWidth="1"/>
    <col min="3851" max="4096" width="9" style="147"/>
    <col min="4097" max="4097" width="1.6640625" style="147" customWidth="1"/>
    <col min="4098" max="4098" width="3.6640625" style="147" customWidth="1"/>
    <col min="4099" max="4099" width="1.6640625" style="147" customWidth="1"/>
    <col min="4100" max="4100" width="14.6640625" style="147" customWidth="1"/>
    <col min="4101" max="4101" width="11.6640625" style="147" customWidth="1"/>
    <col min="4102" max="4102" width="20.88671875" style="147" customWidth="1"/>
    <col min="4103" max="4105" width="14.88671875" style="147" customWidth="1"/>
    <col min="4106" max="4106" width="4.109375" style="147" customWidth="1"/>
    <col min="4107" max="4352" width="9" style="147"/>
    <col min="4353" max="4353" width="1.6640625" style="147" customWidth="1"/>
    <col min="4354" max="4354" width="3.6640625" style="147" customWidth="1"/>
    <col min="4355" max="4355" width="1.6640625" style="147" customWidth="1"/>
    <col min="4356" max="4356" width="14.6640625" style="147" customWidth="1"/>
    <col min="4357" max="4357" width="11.6640625" style="147" customWidth="1"/>
    <col min="4358" max="4358" width="20.88671875" style="147" customWidth="1"/>
    <col min="4359" max="4361" width="14.88671875" style="147" customWidth="1"/>
    <col min="4362" max="4362" width="4.109375" style="147" customWidth="1"/>
    <col min="4363" max="4608" width="9" style="147"/>
    <col min="4609" max="4609" width="1.6640625" style="147" customWidth="1"/>
    <col min="4610" max="4610" width="3.6640625" style="147" customWidth="1"/>
    <col min="4611" max="4611" width="1.6640625" style="147" customWidth="1"/>
    <col min="4612" max="4612" width="14.6640625" style="147" customWidth="1"/>
    <col min="4613" max="4613" width="11.6640625" style="147" customWidth="1"/>
    <col min="4614" max="4614" width="20.88671875" style="147" customWidth="1"/>
    <col min="4615" max="4617" width="14.88671875" style="147" customWidth="1"/>
    <col min="4618" max="4618" width="4.109375" style="147" customWidth="1"/>
    <col min="4619" max="4864" width="9" style="147"/>
    <col min="4865" max="4865" width="1.6640625" style="147" customWidth="1"/>
    <col min="4866" max="4866" width="3.6640625" style="147" customWidth="1"/>
    <col min="4867" max="4867" width="1.6640625" style="147" customWidth="1"/>
    <col min="4868" max="4868" width="14.6640625" style="147" customWidth="1"/>
    <col min="4869" max="4869" width="11.6640625" style="147" customWidth="1"/>
    <col min="4870" max="4870" width="20.88671875" style="147" customWidth="1"/>
    <col min="4871" max="4873" width="14.88671875" style="147" customWidth="1"/>
    <col min="4874" max="4874" width="4.109375" style="147" customWidth="1"/>
    <col min="4875" max="5120" width="9" style="147"/>
    <col min="5121" max="5121" width="1.6640625" style="147" customWidth="1"/>
    <col min="5122" max="5122" width="3.6640625" style="147" customWidth="1"/>
    <col min="5123" max="5123" width="1.6640625" style="147" customWidth="1"/>
    <col min="5124" max="5124" width="14.6640625" style="147" customWidth="1"/>
    <col min="5125" max="5125" width="11.6640625" style="147" customWidth="1"/>
    <col min="5126" max="5126" width="20.88671875" style="147" customWidth="1"/>
    <col min="5127" max="5129" width="14.88671875" style="147" customWidth="1"/>
    <col min="5130" max="5130" width="4.109375" style="147" customWidth="1"/>
    <col min="5131" max="5376" width="9" style="147"/>
    <col min="5377" max="5377" width="1.6640625" style="147" customWidth="1"/>
    <col min="5378" max="5378" width="3.6640625" style="147" customWidth="1"/>
    <col min="5379" max="5379" width="1.6640625" style="147" customWidth="1"/>
    <col min="5380" max="5380" width="14.6640625" style="147" customWidth="1"/>
    <col min="5381" max="5381" width="11.6640625" style="147" customWidth="1"/>
    <col min="5382" max="5382" width="20.88671875" style="147" customWidth="1"/>
    <col min="5383" max="5385" width="14.88671875" style="147" customWidth="1"/>
    <col min="5386" max="5386" width="4.109375" style="147" customWidth="1"/>
    <col min="5387" max="5632" width="9" style="147"/>
    <col min="5633" max="5633" width="1.6640625" style="147" customWidth="1"/>
    <col min="5634" max="5634" width="3.6640625" style="147" customWidth="1"/>
    <col min="5635" max="5635" width="1.6640625" style="147" customWidth="1"/>
    <col min="5636" max="5636" width="14.6640625" style="147" customWidth="1"/>
    <col min="5637" max="5637" width="11.6640625" style="147" customWidth="1"/>
    <col min="5638" max="5638" width="20.88671875" style="147" customWidth="1"/>
    <col min="5639" max="5641" width="14.88671875" style="147" customWidth="1"/>
    <col min="5642" max="5642" width="4.109375" style="147" customWidth="1"/>
    <col min="5643" max="5888" width="9" style="147"/>
    <col min="5889" max="5889" width="1.6640625" style="147" customWidth="1"/>
    <col min="5890" max="5890" width="3.6640625" style="147" customWidth="1"/>
    <col min="5891" max="5891" width="1.6640625" style="147" customWidth="1"/>
    <col min="5892" max="5892" width="14.6640625" style="147" customWidth="1"/>
    <col min="5893" max="5893" width="11.6640625" style="147" customWidth="1"/>
    <col min="5894" max="5894" width="20.88671875" style="147" customWidth="1"/>
    <col min="5895" max="5897" width="14.88671875" style="147" customWidth="1"/>
    <col min="5898" max="5898" width="4.109375" style="147" customWidth="1"/>
    <col min="5899" max="6144" width="9" style="147"/>
    <col min="6145" max="6145" width="1.6640625" style="147" customWidth="1"/>
    <col min="6146" max="6146" width="3.6640625" style="147" customWidth="1"/>
    <col min="6147" max="6147" width="1.6640625" style="147" customWidth="1"/>
    <col min="6148" max="6148" width="14.6640625" style="147" customWidth="1"/>
    <col min="6149" max="6149" width="11.6640625" style="147" customWidth="1"/>
    <col min="6150" max="6150" width="20.88671875" style="147" customWidth="1"/>
    <col min="6151" max="6153" width="14.88671875" style="147" customWidth="1"/>
    <col min="6154" max="6154" width="4.109375" style="147" customWidth="1"/>
    <col min="6155" max="6400" width="9" style="147"/>
    <col min="6401" max="6401" width="1.6640625" style="147" customWidth="1"/>
    <col min="6402" max="6402" width="3.6640625" style="147" customWidth="1"/>
    <col min="6403" max="6403" width="1.6640625" style="147" customWidth="1"/>
    <col min="6404" max="6404" width="14.6640625" style="147" customWidth="1"/>
    <col min="6405" max="6405" width="11.6640625" style="147" customWidth="1"/>
    <col min="6406" max="6406" width="20.88671875" style="147" customWidth="1"/>
    <col min="6407" max="6409" width="14.88671875" style="147" customWidth="1"/>
    <col min="6410" max="6410" width="4.109375" style="147" customWidth="1"/>
    <col min="6411" max="6656" width="9" style="147"/>
    <col min="6657" max="6657" width="1.6640625" style="147" customWidth="1"/>
    <col min="6658" max="6658" width="3.6640625" style="147" customWidth="1"/>
    <col min="6659" max="6659" width="1.6640625" style="147" customWidth="1"/>
    <col min="6660" max="6660" width="14.6640625" style="147" customWidth="1"/>
    <col min="6661" max="6661" width="11.6640625" style="147" customWidth="1"/>
    <col min="6662" max="6662" width="20.88671875" style="147" customWidth="1"/>
    <col min="6663" max="6665" width="14.88671875" style="147" customWidth="1"/>
    <col min="6666" max="6666" width="4.109375" style="147" customWidth="1"/>
    <col min="6667" max="6912" width="9" style="147"/>
    <col min="6913" max="6913" width="1.6640625" style="147" customWidth="1"/>
    <col min="6914" max="6914" width="3.6640625" style="147" customWidth="1"/>
    <col min="6915" max="6915" width="1.6640625" style="147" customWidth="1"/>
    <col min="6916" max="6916" width="14.6640625" style="147" customWidth="1"/>
    <col min="6917" max="6917" width="11.6640625" style="147" customWidth="1"/>
    <col min="6918" max="6918" width="20.88671875" style="147" customWidth="1"/>
    <col min="6919" max="6921" width="14.88671875" style="147" customWidth="1"/>
    <col min="6922" max="6922" width="4.109375" style="147" customWidth="1"/>
    <col min="6923" max="7168" width="9" style="147"/>
    <col min="7169" max="7169" width="1.6640625" style="147" customWidth="1"/>
    <col min="7170" max="7170" width="3.6640625" style="147" customWidth="1"/>
    <col min="7171" max="7171" width="1.6640625" style="147" customWidth="1"/>
    <col min="7172" max="7172" width="14.6640625" style="147" customWidth="1"/>
    <col min="7173" max="7173" width="11.6640625" style="147" customWidth="1"/>
    <col min="7174" max="7174" width="20.88671875" style="147" customWidth="1"/>
    <col min="7175" max="7177" width="14.88671875" style="147" customWidth="1"/>
    <col min="7178" max="7178" width="4.109375" style="147" customWidth="1"/>
    <col min="7179" max="7424" width="9" style="147"/>
    <col min="7425" max="7425" width="1.6640625" style="147" customWidth="1"/>
    <col min="7426" max="7426" width="3.6640625" style="147" customWidth="1"/>
    <col min="7427" max="7427" width="1.6640625" style="147" customWidth="1"/>
    <col min="7428" max="7428" width="14.6640625" style="147" customWidth="1"/>
    <col min="7429" max="7429" width="11.6640625" style="147" customWidth="1"/>
    <col min="7430" max="7430" width="20.88671875" style="147" customWidth="1"/>
    <col min="7431" max="7433" width="14.88671875" style="147" customWidth="1"/>
    <col min="7434" max="7434" width="4.109375" style="147" customWidth="1"/>
    <col min="7435" max="7680" width="9" style="147"/>
    <col min="7681" max="7681" width="1.6640625" style="147" customWidth="1"/>
    <col min="7682" max="7682" width="3.6640625" style="147" customWidth="1"/>
    <col min="7683" max="7683" width="1.6640625" style="147" customWidth="1"/>
    <col min="7684" max="7684" width="14.6640625" style="147" customWidth="1"/>
    <col min="7685" max="7685" width="11.6640625" style="147" customWidth="1"/>
    <col min="7686" max="7686" width="20.88671875" style="147" customWidth="1"/>
    <col min="7687" max="7689" width="14.88671875" style="147" customWidth="1"/>
    <col min="7690" max="7690" width="4.109375" style="147" customWidth="1"/>
    <col min="7691" max="7936" width="9" style="147"/>
    <col min="7937" max="7937" width="1.6640625" style="147" customWidth="1"/>
    <col min="7938" max="7938" width="3.6640625" style="147" customWidth="1"/>
    <col min="7939" max="7939" width="1.6640625" style="147" customWidth="1"/>
    <col min="7940" max="7940" width="14.6640625" style="147" customWidth="1"/>
    <col min="7941" max="7941" width="11.6640625" style="147" customWidth="1"/>
    <col min="7942" max="7942" width="20.88671875" style="147" customWidth="1"/>
    <col min="7943" max="7945" width="14.88671875" style="147" customWidth="1"/>
    <col min="7946" max="7946" width="4.109375" style="147" customWidth="1"/>
    <col min="7947" max="8192" width="9" style="147"/>
    <col min="8193" max="8193" width="1.6640625" style="147" customWidth="1"/>
    <col min="8194" max="8194" width="3.6640625" style="147" customWidth="1"/>
    <col min="8195" max="8195" width="1.6640625" style="147" customWidth="1"/>
    <col min="8196" max="8196" width="14.6640625" style="147" customWidth="1"/>
    <col min="8197" max="8197" width="11.6640625" style="147" customWidth="1"/>
    <col min="8198" max="8198" width="20.88671875" style="147" customWidth="1"/>
    <col min="8199" max="8201" width="14.88671875" style="147" customWidth="1"/>
    <col min="8202" max="8202" width="4.109375" style="147" customWidth="1"/>
    <col min="8203" max="8448" width="9" style="147"/>
    <col min="8449" max="8449" width="1.6640625" style="147" customWidth="1"/>
    <col min="8450" max="8450" width="3.6640625" style="147" customWidth="1"/>
    <col min="8451" max="8451" width="1.6640625" style="147" customWidth="1"/>
    <col min="8452" max="8452" width="14.6640625" style="147" customWidth="1"/>
    <col min="8453" max="8453" width="11.6640625" style="147" customWidth="1"/>
    <col min="8454" max="8454" width="20.88671875" style="147" customWidth="1"/>
    <col min="8455" max="8457" width="14.88671875" style="147" customWidth="1"/>
    <col min="8458" max="8458" width="4.109375" style="147" customWidth="1"/>
    <col min="8459" max="8704" width="9" style="147"/>
    <col min="8705" max="8705" width="1.6640625" style="147" customWidth="1"/>
    <col min="8706" max="8706" width="3.6640625" style="147" customWidth="1"/>
    <col min="8707" max="8707" width="1.6640625" style="147" customWidth="1"/>
    <col min="8708" max="8708" width="14.6640625" style="147" customWidth="1"/>
    <col min="8709" max="8709" width="11.6640625" style="147" customWidth="1"/>
    <col min="8710" max="8710" width="20.88671875" style="147" customWidth="1"/>
    <col min="8711" max="8713" width="14.88671875" style="147" customWidth="1"/>
    <col min="8714" max="8714" width="4.109375" style="147" customWidth="1"/>
    <col min="8715" max="8960" width="9" style="147"/>
    <col min="8961" max="8961" width="1.6640625" style="147" customWidth="1"/>
    <col min="8962" max="8962" width="3.6640625" style="147" customWidth="1"/>
    <col min="8963" max="8963" width="1.6640625" style="147" customWidth="1"/>
    <col min="8964" max="8964" width="14.6640625" style="147" customWidth="1"/>
    <col min="8965" max="8965" width="11.6640625" style="147" customWidth="1"/>
    <col min="8966" max="8966" width="20.88671875" style="147" customWidth="1"/>
    <col min="8967" max="8969" width="14.88671875" style="147" customWidth="1"/>
    <col min="8970" max="8970" width="4.109375" style="147" customWidth="1"/>
    <col min="8971" max="9216" width="9" style="147"/>
    <col min="9217" max="9217" width="1.6640625" style="147" customWidth="1"/>
    <col min="9218" max="9218" width="3.6640625" style="147" customWidth="1"/>
    <col min="9219" max="9219" width="1.6640625" style="147" customWidth="1"/>
    <col min="9220" max="9220" width="14.6640625" style="147" customWidth="1"/>
    <col min="9221" max="9221" width="11.6640625" style="147" customWidth="1"/>
    <col min="9222" max="9222" width="20.88671875" style="147" customWidth="1"/>
    <col min="9223" max="9225" width="14.88671875" style="147" customWidth="1"/>
    <col min="9226" max="9226" width="4.109375" style="147" customWidth="1"/>
    <col min="9227" max="9472" width="9" style="147"/>
    <col min="9473" max="9473" width="1.6640625" style="147" customWidth="1"/>
    <col min="9474" max="9474" width="3.6640625" style="147" customWidth="1"/>
    <col min="9475" max="9475" width="1.6640625" style="147" customWidth="1"/>
    <col min="9476" max="9476" width="14.6640625" style="147" customWidth="1"/>
    <col min="9477" max="9477" width="11.6640625" style="147" customWidth="1"/>
    <col min="9478" max="9478" width="20.88671875" style="147" customWidth="1"/>
    <col min="9479" max="9481" width="14.88671875" style="147" customWidth="1"/>
    <col min="9482" max="9482" width="4.109375" style="147" customWidth="1"/>
    <col min="9483" max="9728" width="9" style="147"/>
    <col min="9729" max="9729" width="1.6640625" style="147" customWidth="1"/>
    <col min="9730" max="9730" width="3.6640625" style="147" customWidth="1"/>
    <col min="9731" max="9731" width="1.6640625" style="147" customWidth="1"/>
    <col min="9732" max="9732" width="14.6640625" style="147" customWidth="1"/>
    <col min="9733" max="9733" width="11.6640625" style="147" customWidth="1"/>
    <col min="9734" max="9734" width="20.88671875" style="147" customWidth="1"/>
    <col min="9735" max="9737" width="14.88671875" style="147" customWidth="1"/>
    <col min="9738" max="9738" width="4.109375" style="147" customWidth="1"/>
    <col min="9739" max="9984" width="9" style="147"/>
    <col min="9985" max="9985" width="1.6640625" style="147" customWidth="1"/>
    <col min="9986" max="9986" width="3.6640625" style="147" customWidth="1"/>
    <col min="9987" max="9987" width="1.6640625" style="147" customWidth="1"/>
    <col min="9988" max="9988" width="14.6640625" style="147" customWidth="1"/>
    <col min="9989" max="9989" width="11.6640625" style="147" customWidth="1"/>
    <col min="9990" max="9990" width="20.88671875" style="147" customWidth="1"/>
    <col min="9991" max="9993" width="14.88671875" style="147" customWidth="1"/>
    <col min="9994" max="9994" width="4.109375" style="147" customWidth="1"/>
    <col min="9995" max="10240" width="9" style="147"/>
    <col min="10241" max="10241" width="1.6640625" style="147" customWidth="1"/>
    <col min="10242" max="10242" width="3.6640625" style="147" customWidth="1"/>
    <col min="10243" max="10243" width="1.6640625" style="147" customWidth="1"/>
    <col min="10244" max="10244" width="14.6640625" style="147" customWidth="1"/>
    <col min="10245" max="10245" width="11.6640625" style="147" customWidth="1"/>
    <col min="10246" max="10246" width="20.88671875" style="147" customWidth="1"/>
    <col min="10247" max="10249" width="14.88671875" style="147" customWidth="1"/>
    <col min="10250" max="10250" width="4.109375" style="147" customWidth="1"/>
    <col min="10251" max="10496" width="9" style="147"/>
    <col min="10497" max="10497" width="1.6640625" style="147" customWidth="1"/>
    <col min="10498" max="10498" width="3.6640625" style="147" customWidth="1"/>
    <col min="10499" max="10499" width="1.6640625" style="147" customWidth="1"/>
    <col min="10500" max="10500" width="14.6640625" style="147" customWidth="1"/>
    <col min="10501" max="10501" width="11.6640625" style="147" customWidth="1"/>
    <col min="10502" max="10502" width="20.88671875" style="147" customWidth="1"/>
    <col min="10503" max="10505" width="14.88671875" style="147" customWidth="1"/>
    <col min="10506" max="10506" width="4.109375" style="147" customWidth="1"/>
    <col min="10507" max="10752" width="9" style="147"/>
    <col min="10753" max="10753" width="1.6640625" style="147" customWidth="1"/>
    <col min="10754" max="10754" width="3.6640625" style="147" customWidth="1"/>
    <col min="10755" max="10755" width="1.6640625" style="147" customWidth="1"/>
    <col min="10756" max="10756" width="14.6640625" style="147" customWidth="1"/>
    <col min="10757" max="10757" width="11.6640625" style="147" customWidth="1"/>
    <col min="10758" max="10758" width="20.88671875" style="147" customWidth="1"/>
    <col min="10759" max="10761" width="14.88671875" style="147" customWidth="1"/>
    <col min="10762" max="10762" width="4.109375" style="147" customWidth="1"/>
    <col min="10763" max="11008" width="9" style="147"/>
    <col min="11009" max="11009" width="1.6640625" style="147" customWidth="1"/>
    <col min="11010" max="11010" width="3.6640625" style="147" customWidth="1"/>
    <col min="11011" max="11011" width="1.6640625" style="147" customWidth="1"/>
    <col min="11012" max="11012" width="14.6640625" style="147" customWidth="1"/>
    <col min="11013" max="11013" width="11.6640625" style="147" customWidth="1"/>
    <col min="11014" max="11014" width="20.88671875" style="147" customWidth="1"/>
    <col min="11015" max="11017" width="14.88671875" style="147" customWidth="1"/>
    <col min="11018" max="11018" width="4.109375" style="147" customWidth="1"/>
    <col min="11019" max="11264" width="9" style="147"/>
    <col min="11265" max="11265" width="1.6640625" style="147" customWidth="1"/>
    <col min="11266" max="11266" width="3.6640625" style="147" customWidth="1"/>
    <col min="11267" max="11267" width="1.6640625" style="147" customWidth="1"/>
    <col min="11268" max="11268" width="14.6640625" style="147" customWidth="1"/>
    <col min="11269" max="11269" width="11.6640625" style="147" customWidth="1"/>
    <col min="11270" max="11270" width="20.88671875" style="147" customWidth="1"/>
    <col min="11271" max="11273" width="14.88671875" style="147" customWidth="1"/>
    <col min="11274" max="11274" width="4.109375" style="147" customWidth="1"/>
    <col min="11275" max="11520" width="9" style="147"/>
    <col min="11521" max="11521" width="1.6640625" style="147" customWidth="1"/>
    <col min="11522" max="11522" width="3.6640625" style="147" customWidth="1"/>
    <col min="11523" max="11523" width="1.6640625" style="147" customWidth="1"/>
    <col min="11524" max="11524" width="14.6640625" style="147" customWidth="1"/>
    <col min="11525" max="11525" width="11.6640625" style="147" customWidth="1"/>
    <col min="11526" max="11526" width="20.88671875" style="147" customWidth="1"/>
    <col min="11527" max="11529" width="14.88671875" style="147" customWidth="1"/>
    <col min="11530" max="11530" width="4.109375" style="147" customWidth="1"/>
    <col min="11531" max="11776" width="9" style="147"/>
    <col min="11777" max="11777" width="1.6640625" style="147" customWidth="1"/>
    <col min="11778" max="11778" width="3.6640625" style="147" customWidth="1"/>
    <col min="11779" max="11779" width="1.6640625" style="147" customWidth="1"/>
    <col min="11780" max="11780" width="14.6640625" style="147" customWidth="1"/>
    <col min="11781" max="11781" width="11.6640625" style="147" customWidth="1"/>
    <col min="11782" max="11782" width="20.88671875" style="147" customWidth="1"/>
    <col min="11783" max="11785" width="14.88671875" style="147" customWidth="1"/>
    <col min="11786" max="11786" width="4.109375" style="147" customWidth="1"/>
    <col min="11787" max="12032" width="9" style="147"/>
    <col min="12033" max="12033" width="1.6640625" style="147" customWidth="1"/>
    <col min="12034" max="12034" width="3.6640625" style="147" customWidth="1"/>
    <col min="12035" max="12035" width="1.6640625" style="147" customWidth="1"/>
    <col min="12036" max="12036" width="14.6640625" style="147" customWidth="1"/>
    <col min="12037" max="12037" width="11.6640625" style="147" customWidth="1"/>
    <col min="12038" max="12038" width="20.88671875" style="147" customWidth="1"/>
    <col min="12039" max="12041" width="14.88671875" style="147" customWidth="1"/>
    <col min="12042" max="12042" width="4.109375" style="147" customWidth="1"/>
    <col min="12043" max="12288" width="9" style="147"/>
    <col min="12289" max="12289" width="1.6640625" style="147" customWidth="1"/>
    <col min="12290" max="12290" width="3.6640625" style="147" customWidth="1"/>
    <col min="12291" max="12291" width="1.6640625" style="147" customWidth="1"/>
    <col min="12292" max="12292" width="14.6640625" style="147" customWidth="1"/>
    <col min="12293" max="12293" width="11.6640625" style="147" customWidth="1"/>
    <col min="12294" max="12294" width="20.88671875" style="147" customWidth="1"/>
    <col min="12295" max="12297" width="14.88671875" style="147" customWidth="1"/>
    <col min="12298" max="12298" width="4.109375" style="147" customWidth="1"/>
    <col min="12299" max="12544" width="9" style="147"/>
    <col min="12545" max="12545" width="1.6640625" style="147" customWidth="1"/>
    <col min="12546" max="12546" width="3.6640625" style="147" customWidth="1"/>
    <col min="12547" max="12547" width="1.6640625" style="147" customWidth="1"/>
    <col min="12548" max="12548" width="14.6640625" style="147" customWidth="1"/>
    <col min="12549" max="12549" width="11.6640625" style="147" customWidth="1"/>
    <col min="12550" max="12550" width="20.88671875" style="147" customWidth="1"/>
    <col min="12551" max="12553" width="14.88671875" style="147" customWidth="1"/>
    <col min="12554" max="12554" width="4.109375" style="147" customWidth="1"/>
    <col min="12555" max="12800" width="9" style="147"/>
    <col min="12801" max="12801" width="1.6640625" style="147" customWidth="1"/>
    <col min="12802" max="12802" width="3.6640625" style="147" customWidth="1"/>
    <col min="12803" max="12803" width="1.6640625" style="147" customWidth="1"/>
    <col min="12804" max="12804" width="14.6640625" style="147" customWidth="1"/>
    <col min="12805" max="12805" width="11.6640625" style="147" customWidth="1"/>
    <col min="12806" max="12806" width="20.88671875" style="147" customWidth="1"/>
    <col min="12807" max="12809" width="14.88671875" style="147" customWidth="1"/>
    <col min="12810" max="12810" width="4.109375" style="147" customWidth="1"/>
    <col min="12811" max="13056" width="9" style="147"/>
    <col min="13057" max="13057" width="1.6640625" style="147" customWidth="1"/>
    <col min="13058" max="13058" width="3.6640625" style="147" customWidth="1"/>
    <col min="13059" max="13059" width="1.6640625" style="147" customWidth="1"/>
    <col min="13060" max="13060" width="14.6640625" style="147" customWidth="1"/>
    <col min="13061" max="13061" width="11.6640625" style="147" customWidth="1"/>
    <col min="13062" max="13062" width="20.88671875" style="147" customWidth="1"/>
    <col min="13063" max="13065" width="14.88671875" style="147" customWidth="1"/>
    <col min="13066" max="13066" width="4.109375" style="147" customWidth="1"/>
    <col min="13067" max="13312" width="9" style="147"/>
    <col min="13313" max="13313" width="1.6640625" style="147" customWidth="1"/>
    <col min="13314" max="13314" width="3.6640625" style="147" customWidth="1"/>
    <col min="13315" max="13315" width="1.6640625" style="147" customWidth="1"/>
    <col min="13316" max="13316" width="14.6640625" style="147" customWidth="1"/>
    <col min="13317" max="13317" width="11.6640625" style="147" customWidth="1"/>
    <col min="13318" max="13318" width="20.88671875" style="147" customWidth="1"/>
    <col min="13319" max="13321" width="14.88671875" style="147" customWidth="1"/>
    <col min="13322" max="13322" width="4.109375" style="147" customWidth="1"/>
    <col min="13323" max="13568" width="9" style="147"/>
    <col min="13569" max="13569" width="1.6640625" style="147" customWidth="1"/>
    <col min="13570" max="13570" width="3.6640625" style="147" customWidth="1"/>
    <col min="13571" max="13571" width="1.6640625" style="147" customWidth="1"/>
    <col min="13572" max="13572" width="14.6640625" style="147" customWidth="1"/>
    <col min="13573" max="13573" width="11.6640625" style="147" customWidth="1"/>
    <col min="13574" max="13574" width="20.88671875" style="147" customWidth="1"/>
    <col min="13575" max="13577" width="14.88671875" style="147" customWidth="1"/>
    <col min="13578" max="13578" width="4.109375" style="147" customWidth="1"/>
    <col min="13579" max="13824" width="9" style="147"/>
    <col min="13825" max="13825" width="1.6640625" style="147" customWidth="1"/>
    <col min="13826" max="13826" width="3.6640625" style="147" customWidth="1"/>
    <col min="13827" max="13827" width="1.6640625" style="147" customWidth="1"/>
    <col min="13828" max="13828" width="14.6640625" style="147" customWidth="1"/>
    <col min="13829" max="13829" width="11.6640625" style="147" customWidth="1"/>
    <col min="13830" max="13830" width="20.88671875" style="147" customWidth="1"/>
    <col min="13831" max="13833" width="14.88671875" style="147" customWidth="1"/>
    <col min="13834" max="13834" width="4.109375" style="147" customWidth="1"/>
    <col min="13835" max="14080" width="9" style="147"/>
    <col min="14081" max="14081" width="1.6640625" style="147" customWidth="1"/>
    <col min="14082" max="14082" width="3.6640625" style="147" customWidth="1"/>
    <col min="14083" max="14083" width="1.6640625" style="147" customWidth="1"/>
    <col min="14084" max="14084" width="14.6640625" style="147" customWidth="1"/>
    <col min="14085" max="14085" width="11.6640625" style="147" customWidth="1"/>
    <col min="14086" max="14086" width="20.88671875" style="147" customWidth="1"/>
    <col min="14087" max="14089" width="14.88671875" style="147" customWidth="1"/>
    <col min="14090" max="14090" width="4.109375" style="147" customWidth="1"/>
    <col min="14091" max="14336" width="9" style="147"/>
    <col min="14337" max="14337" width="1.6640625" style="147" customWidth="1"/>
    <col min="14338" max="14338" width="3.6640625" style="147" customWidth="1"/>
    <col min="14339" max="14339" width="1.6640625" style="147" customWidth="1"/>
    <col min="14340" max="14340" width="14.6640625" style="147" customWidth="1"/>
    <col min="14341" max="14341" width="11.6640625" style="147" customWidth="1"/>
    <col min="14342" max="14342" width="20.88671875" style="147" customWidth="1"/>
    <col min="14343" max="14345" width="14.88671875" style="147" customWidth="1"/>
    <col min="14346" max="14346" width="4.109375" style="147" customWidth="1"/>
    <col min="14347" max="14592" width="9" style="147"/>
    <col min="14593" max="14593" width="1.6640625" style="147" customWidth="1"/>
    <col min="14594" max="14594" width="3.6640625" style="147" customWidth="1"/>
    <col min="14595" max="14595" width="1.6640625" style="147" customWidth="1"/>
    <col min="14596" max="14596" width="14.6640625" style="147" customWidth="1"/>
    <col min="14597" max="14597" width="11.6640625" style="147" customWidth="1"/>
    <col min="14598" max="14598" width="20.88671875" style="147" customWidth="1"/>
    <col min="14599" max="14601" width="14.88671875" style="147" customWidth="1"/>
    <col min="14602" max="14602" width="4.109375" style="147" customWidth="1"/>
    <col min="14603" max="14848" width="9" style="147"/>
    <col min="14849" max="14849" width="1.6640625" style="147" customWidth="1"/>
    <col min="14850" max="14850" width="3.6640625" style="147" customWidth="1"/>
    <col min="14851" max="14851" width="1.6640625" style="147" customWidth="1"/>
    <col min="14852" max="14852" width="14.6640625" style="147" customWidth="1"/>
    <col min="14853" max="14853" width="11.6640625" style="147" customWidth="1"/>
    <col min="14854" max="14854" width="20.88671875" style="147" customWidth="1"/>
    <col min="14855" max="14857" width="14.88671875" style="147" customWidth="1"/>
    <col min="14858" max="14858" width="4.109375" style="147" customWidth="1"/>
    <col min="14859" max="15104" width="9" style="147"/>
    <col min="15105" max="15105" width="1.6640625" style="147" customWidth="1"/>
    <col min="15106" max="15106" width="3.6640625" style="147" customWidth="1"/>
    <col min="15107" max="15107" width="1.6640625" style="147" customWidth="1"/>
    <col min="15108" max="15108" width="14.6640625" style="147" customWidth="1"/>
    <col min="15109" max="15109" width="11.6640625" style="147" customWidth="1"/>
    <col min="15110" max="15110" width="20.88671875" style="147" customWidth="1"/>
    <col min="15111" max="15113" width="14.88671875" style="147" customWidth="1"/>
    <col min="15114" max="15114" width="4.109375" style="147" customWidth="1"/>
    <col min="15115" max="15360" width="9" style="147"/>
    <col min="15361" max="15361" width="1.6640625" style="147" customWidth="1"/>
    <col min="15362" max="15362" width="3.6640625" style="147" customWidth="1"/>
    <col min="15363" max="15363" width="1.6640625" style="147" customWidth="1"/>
    <col min="15364" max="15364" width="14.6640625" style="147" customWidth="1"/>
    <col min="15365" max="15365" width="11.6640625" style="147" customWidth="1"/>
    <col min="15366" max="15366" width="20.88671875" style="147" customWidth="1"/>
    <col min="15367" max="15369" width="14.88671875" style="147" customWidth="1"/>
    <col min="15370" max="15370" width="4.109375" style="147" customWidth="1"/>
    <col min="15371" max="15616" width="9" style="147"/>
    <col min="15617" max="15617" width="1.6640625" style="147" customWidth="1"/>
    <col min="15618" max="15618" width="3.6640625" style="147" customWidth="1"/>
    <col min="15619" max="15619" width="1.6640625" style="147" customWidth="1"/>
    <col min="15620" max="15620" width="14.6640625" style="147" customWidth="1"/>
    <col min="15621" max="15621" width="11.6640625" style="147" customWidth="1"/>
    <col min="15622" max="15622" width="20.88671875" style="147" customWidth="1"/>
    <col min="15623" max="15625" width="14.88671875" style="147" customWidth="1"/>
    <col min="15626" max="15626" width="4.109375" style="147" customWidth="1"/>
    <col min="15627" max="15872" width="9" style="147"/>
    <col min="15873" max="15873" width="1.6640625" style="147" customWidth="1"/>
    <col min="15874" max="15874" width="3.6640625" style="147" customWidth="1"/>
    <col min="15875" max="15875" width="1.6640625" style="147" customWidth="1"/>
    <col min="15876" max="15876" width="14.6640625" style="147" customWidth="1"/>
    <col min="15877" max="15877" width="11.6640625" style="147" customWidth="1"/>
    <col min="15878" max="15878" width="20.88671875" style="147" customWidth="1"/>
    <col min="15879" max="15881" width="14.88671875" style="147" customWidth="1"/>
    <col min="15882" max="15882" width="4.109375" style="147" customWidth="1"/>
    <col min="15883" max="16128" width="9" style="147"/>
    <col min="16129" max="16129" width="1.6640625" style="147" customWidth="1"/>
    <col min="16130" max="16130" width="3.6640625" style="147" customWidth="1"/>
    <col min="16131" max="16131" width="1.6640625" style="147" customWidth="1"/>
    <col min="16132" max="16132" width="14.6640625" style="147" customWidth="1"/>
    <col min="16133" max="16133" width="11.6640625" style="147" customWidth="1"/>
    <col min="16134" max="16134" width="20.88671875" style="147" customWidth="1"/>
    <col min="16135" max="16137" width="14.88671875" style="147" customWidth="1"/>
    <col min="16138" max="16138" width="4.109375" style="147" customWidth="1"/>
    <col min="16139" max="16384" width="9" style="147"/>
  </cols>
  <sheetData>
    <row r="1" spans="1:10" x14ac:dyDescent="0.2">
      <c r="A1" s="162"/>
      <c r="B1" s="162"/>
      <c r="C1" s="162"/>
      <c r="D1" s="162"/>
      <c r="E1" s="162"/>
      <c r="F1" s="162"/>
      <c r="G1" s="162"/>
      <c r="H1" s="162"/>
      <c r="I1" s="256" t="s">
        <v>230</v>
      </c>
      <c r="J1" s="256"/>
    </row>
    <row r="2" spans="1:10" x14ac:dyDescent="0.2">
      <c r="A2" s="162"/>
      <c r="B2" s="162"/>
      <c r="C2" s="250" t="s">
        <v>252</v>
      </c>
      <c r="D2" s="251"/>
      <c r="E2" s="251"/>
      <c r="F2" s="251"/>
      <c r="G2" s="251"/>
      <c r="H2" s="251"/>
      <c r="I2" s="251"/>
      <c r="J2" s="163"/>
    </row>
    <row r="3" spans="1:10" x14ac:dyDescent="0.2">
      <c r="A3" s="162"/>
      <c r="B3" s="162"/>
      <c r="C3" s="162"/>
      <c r="D3" s="162"/>
      <c r="E3" s="162"/>
      <c r="F3" s="162"/>
      <c r="G3" s="162"/>
      <c r="H3" s="162"/>
      <c r="I3" s="163"/>
      <c r="J3" s="163"/>
    </row>
    <row r="4" spans="1:10" x14ac:dyDescent="0.2">
      <c r="A4" s="257" t="s">
        <v>140</v>
      </c>
      <c r="B4" s="257"/>
      <c r="C4" s="257"/>
      <c r="D4" s="257"/>
      <c r="E4" s="258" t="s">
        <v>231</v>
      </c>
      <c r="F4" s="258"/>
      <c r="G4" s="162"/>
      <c r="H4" s="162"/>
      <c r="I4" s="259" t="s">
        <v>232</v>
      </c>
      <c r="J4" s="259"/>
    </row>
    <row r="5" spans="1:10" ht="30" customHeight="1" x14ac:dyDescent="0.2">
      <c r="A5" s="252" t="s">
        <v>142</v>
      </c>
      <c r="B5" s="253"/>
      <c r="C5" s="253"/>
      <c r="D5" s="254"/>
      <c r="E5" s="255" t="s">
        <v>233</v>
      </c>
      <c r="F5" s="254"/>
      <c r="G5" s="183" t="s">
        <v>251</v>
      </c>
      <c r="H5" s="184" t="s">
        <v>202</v>
      </c>
      <c r="I5" s="185" t="s">
        <v>234</v>
      </c>
      <c r="J5" s="185" t="s">
        <v>143</v>
      </c>
    </row>
    <row r="6" spans="1:10" ht="30" customHeight="1" x14ac:dyDescent="0.2">
      <c r="A6" s="186" t="s">
        <v>144</v>
      </c>
      <c r="B6" s="187">
        <v>7</v>
      </c>
      <c r="C6" s="187" t="s">
        <v>145</v>
      </c>
      <c r="D6" s="174" t="s">
        <v>260</v>
      </c>
      <c r="E6" s="260" t="s">
        <v>261</v>
      </c>
      <c r="F6" s="261"/>
      <c r="G6" s="188">
        <v>111630</v>
      </c>
      <c r="H6" s="188">
        <v>144000</v>
      </c>
      <c r="I6" s="188">
        <f>G6-H6</f>
        <v>-32370</v>
      </c>
      <c r="J6" s="174"/>
    </row>
    <row r="7" spans="1:10" ht="30" customHeight="1" x14ac:dyDescent="0.2">
      <c r="A7" s="252" t="s">
        <v>235</v>
      </c>
      <c r="B7" s="253"/>
      <c r="C7" s="253"/>
      <c r="D7" s="253"/>
      <c r="E7" s="253"/>
      <c r="F7" s="254"/>
      <c r="G7" s="188">
        <f>SUM(G6:G6)</f>
        <v>111630</v>
      </c>
      <c r="H7" s="188">
        <f>SUM(H6:H6)</f>
        <v>144000</v>
      </c>
      <c r="I7" s="188">
        <f>SUM(I6:I6)</f>
        <v>-32370</v>
      </c>
      <c r="J7" s="174"/>
    </row>
    <row r="8" spans="1:10" ht="13.5" customHeight="1" x14ac:dyDescent="0.2">
      <c r="A8" s="162"/>
      <c r="B8" s="162"/>
      <c r="C8" s="162"/>
      <c r="D8" s="162"/>
      <c r="E8" s="162"/>
      <c r="F8" s="162"/>
      <c r="G8" s="162"/>
      <c r="H8" s="162"/>
      <c r="I8" s="162"/>
      <c r="J8" s="162"/>
    </row>
    <row r="9" spans="1:10" ht="17.100000000000001" customHeight="1" x14ac:dyDescent="0.2">
      <c r="A9" s="162"/>
      <c r="B9" s="162"/>
      <c r="C9" s="162"/>
      <c r="D9" s="162"/>
      <c r="E9" s="162"/>
      <c r="F9" s="162"/>
      <c r="G9" s="162"/>
      <c r="H9" s="162"/>
      <c r="I9" s="256"/>
      <c r="J9" s="256"/>
    </row>
    <row r="10" spans="1:10" ht="17.100000000000001" customHeight="1" x14ac:dyDescent="0.2">
      <c r="A10" s="257" t="s">
        <v>146</v>
      </c>
      <c r="B10" s="257"/>
      <c r="C10" s="257"/>
      <c r="D10" s="257"/>
      <c r="E10" s="258" t="s">
        <v>231</v>
      </c>
      <c r="F10" s="258"/>
      <c r="G10" s="162"/>
      <c r="H10" s="162"/>
      <c r="I10" s="259" t="s">
        <v>232</v>
      </c>
      <c r="J10" s="259"/>
    </row>
    <row r="11" spans="1:10" ht="30" customHeight="1" x14ac:dyDescent="0.2">
      <c r="A11" s="252" t="s">
        <v>142</v>
      </c>
      <c r="B11" s="253"/>
      <c r="C11" s="253"/>
      <c r="D11" s="254"/>
      <c r="E11" s="185" t="s">
        <v>236</v>
      </c>
      <c r="F11" s="185" t="s">
        <v>237</v>
      </c>
      <c r="G11" s="183" t="s">
        <v>251</v>
      </c>
      <c r="H11" s="184" t="s">
        <v>202</v>
      </c>
      <c r="I11" s="185" t="s">
        <v>238</v>
      </c>
      <c r="J11" s="185" t="s">
        <v>143</v>
      </c>
    </row>
    <row r="12" spans="1:10" ht="30" customHeight="1" x14ac:dyDescent="0.2">
      <c r="A12" s="189" t="s">
        <v>144</v>
      </c>
      <c r="B12" s="190">
        <v>1</v>
      </c>
      <c r="C12" s="162" t="s">
        <v>145</v>
      </c>
      <c r="D12" s="178" t="s">
        <v>262</v>
      </c>
      <c r="E12" s="174" t="s">
        <v>263</v>
      </c>
      <c r="F12" s="174" t="s">
        <v>264</v>
      </c>
      <c r="G12" s="188">
        <v>46948</v>
      </c>
      <c r="H12" s="188">
        <v>55000</v>
      </c>
      <c r="I12" s="188">
        <f>G12-H12</f>
        <v>-8052</v>
      </c>
      <c r="J12" s="197">
        <v>1</v>
      </c>
    </row>
    <row r="13" spans="1:10" ht="30" customHeight="1" x14ac:dyDescent="0.2">
      <c r="A13" s="191"/>
      <c r="B13" s="162"/>
      <c r="C13" s="162"/>
      <c r="D13" s="178"/>
      <c r="E13" s="174" t="s">
        <v>263</v>
      </c>
      <c r="F13" s="174" t="s">
        <v>265</v>
      </c>
      <c r="G13" s="188">
        <v>0</v>
      </c>
      <c r="H13" s="188">
        <v>6776</v>
      </c>
      <c r="I13" s="188">
        <f>G13-H13</f>
        <v>-6776</v>
      </c>
      <c r="J13" s="197"/>
    </row>
    <row r="14" spans="1:10" ht="30" customHeight="1" x14ac:dyDescent="0.2">
      <c r="A14" s="181"/>
      <c r="B14" s="187"/>
      <c r="C14" s="187"/>
      <c r="D14" s="174"/>
      <c r="E14" s="187"/>
      <c r="F14" s="170" t="s">
        <v>239</v>
      </c>
      <c r="G14" s="192">
        <f>SUM(G12:G13)</f>
        <v>46948</v>
      </c>
      <c r="H14" s="192">
        <f>SUM(H12:H13)</f>
        <v>61776</v>
      </c>
      <c r="I14" s="188">
        <f>SUM(I12:I13)</f>
        <v>-14828</v>
      </c>
      <c r="J14" s="174"/>
    </row>
    <row r="15" spans="1:10" ht="30" customHeight="1" x14ac:dyDescent="0.2">
      <c r="A15" s="189" t="s">
        <v>144</v>
      </c>
      <c r="B15" s="190">
        <v>2</v>
      </c>
      <c r="C15" s="162" t="s">
        <v>145</v>
      </c>
      <c r="D15" s="178" t="s">
        <v>266</v>
      </c>
      <c r="E15" s="174" t="s">
        <v>267</v>
      </c>
      <c r="F15" s="174" t="s">
        <v>268</v>
      </c>
      <c r="G15" s="188">
        <v>6050</v>
      </c>
      <c r="H15" s="188">
        <v>1650</v>
      </c>
      <c r="I15" s="188">
        <f>G15-H15</f>
        <v>4400</v>
      </c>
      <c r="J15" s="174"/>
    </row>
    <row r="16" spans="1:10" ht="30" customHeight="1" x14ac:dyDescent="0.2">
      <c r="A16" s="191"/>
      <c r="B16" s="162"/>
      <c r="C16" s="162"/>
      <c r="D16" s="178"/>
      <c r="E16" s="174" t="s">
        <v>267</v>
      </c>
      <c r="F16" s="195" t="s">
        <v>269</v>
      </c>
      <c r="G16" s="188">
        <v>30000</v>
      </c>
      <c r="H16" s="188">
        <v>30000</v>
      </c>
      <c r="I16" s="188">
        <f>G16-H16</f>
        <v>0</v>
      </c>
      <c r="J16" s="197">
        <v>3</v>
      </c>
    </row>
    <row r="17" spans="1:10" ht="30" customHeight="1" x14ac:dyDescent="0.2">
      <c r="A17" s="181"/>
      <c r="B17" s="187"/>
      <c r="C17" s="187"/>
      <c r="D17" s="174"/>
      <c r="E17" s="187"/>
      <c r="F17" s="174" t="s">
        <v>239</v>
      </c>
      <c r="G17" s="188">
        <f>SUM(G15:G16)</f>
        <v>36050</v>
      </c>
      <c r="H17" s="188">
        <f>SUM(H15:H16)</f>
        <v>31650</v>
      </c>
      <c r="I17" s="188">
        <f>SUM(I15:I16)</f>
        <v>4400</v>
      </c>
      <c r="J17" s="174"/>
    </row>
    <row r="18" spans="1:10" ht="30" customHeight="1" x14ac:dyDescent="0.2">
      <c r="A18" s="189" t="s">
        <v>144</v>
      </c>
      <c r="B18" s="190">
        <v>12</v>
      </c>
      <c r="C18" s="162" t="s">
        <v>145</v>
      </c>
      <c r="D18" s="178" t="s">
        <v>270</v>
      </c>
      <c r="E18" s="174"/>
      <c r="F18" s="143" t="s">
        <v>180</v>
      </c>
      <c r="G18" s="188">
        <v>20625</v>
      </c>
      <c r="H18" s="188">
        <v>20625</v>
      </c>
      <c r="I18" s="188">
        <f>G18-H18</f>
        <v>0</v>
      </c>
      <c r="J18" s="197">
        <v>1</v>
      </c>
    </row>
    <row r="19" spans="1:10" ht="30" customHeight="1" x14ac:dyDescent="0.2">
      <c r="A19" s="191"/>
      <c r="B19" s="162"/>
      <c r="C19" s="162"/>
      <c r="D19" s="178"/>
      <c r="E19" s="174"/>
      <c r="F19" s="143" t="s">
        <v>178</v>
      </c>
      <c r="G19" s="188">
        <v>0</v>
      </c>
      <c r="H19" s="188">
        <v>16500</v>
      </c>
      <c r="I19" s="188">
        <f>G19-H19</f>
        <v>-16500</v>
      </c>
      <c r="J19" s="174"/>
    </row>
    <row r="20" spans="1:10" ht="52.8" x14ac:dyDescent="0.2">
      <c r="A20" s="191"/>
      <c r="B20" s="162"/>
      <c r="C20" s="162"/>
      <c r="D20" s="178"/>
      <c r="E20" s="174"/>
      <c r="F20" s="143" t="s">
        <v>181</v>
      </c>
      <c r="G20" s="188">
        <v>8007</v>
      </c>
      <c r="H20" s="188">
        <v>8007</v>
      </c>
      <c r="I20" s="188">
        <f>G20-H20</f>
        <v>0</v>
      </c>
      <c r="J20" s="197">
        <v>2</v>
      </c>
    </row>
    <row r="21" spans="1:10" ht="30" customHeight="1" x14ac:dyDescent="0.2">
      <c r="A21" s="191"/>
      <c r="B21" s="162"/>
      <c r="C21" s="162"/>
      <c r="D21" s="178"/>
      <c r="E21" s="174"/>
      <c r="F21" s="143" t="s">
        <v>182</v>
      </c>
      <c r="G21" s="188">
        <v>0</v>
      </c>
      <c r="H21" s="188">
        <v>3465</v>
      </c>
      <c r="I21" s="188">
        <f>G21-H21</f>
        <v>-3465</v>
      </c>
      <c r="J21" s="174"/>
    </row>
    <row r="22" spans="1:10" ht="30" customHeight="1" x14ac:dyDescent="0.2">
      <c r="A22" s="181"/>
      <c r="B22" s="187"/>
      <c r="C22" s="187"/>
      <c r="D22" s="174"/>
      <c r="E22" s="187"/>
      <c r="F22" s="174" t="s">
        <v>239</v>
      </c>
      <c r="G22" s="188">
        <f>SUM(G18:G21)</f>
        <v>28632</v>
      </c>
      <c r="H22" s="188">
        <f>SUM(H18:H21)</f>
        <v>48597</v>
      </c>
      <c r="I22" s="188">
        <f>SUM(I18:I21)</f>
        <v>-19965</v>
      </c>
      <c r="J22" s="174"/>
    </row>
    <row r="23" spans="1:10" ht="30" customHeight="1" x14ac:dyDescent="0.2">
      <c r="A23" s="189" t="s">
        <v>144</v>
      </c>
      <c r="B23" s="190">
        <v>15</v>
      </c>
      <c r="C23" s="162" t="s">
        <v>145</v>
      </c>
      <c r="D23" s="178" t="s">
        <v>271</v>
      </c>
      <c r="E23" s="174"/>
      <c r="F23" s="196">
        <v>0</v>
      </c>
      <c r="G23" s="188">
        <v>0</v>
      </c>
      <c r="H23" s="188">
        <v>1977</v>
      </c>
      <c r="I23" s="188">
        <f>G23-H23</f>
        <v>-1977</v>
      </c>
      <c r="J23" s="174"/>
    </row>
    <row r="24" spans="1:10" ht="30" customHeight="1" x14ac:dyDescent="0.2">
      <c r="A24" s="181"/>
      <c r="B24" s="187"/>
      <c r="C24" s="187"/>
      <c r="D24" s="174"/>
      <c r="E24" s="187"/>
      <c r="F24" s="174" t="s">
        <v>239</v>
      </c>
      <c r="G24" s="188">
        <f>SUM(G23:G23)</f>
        <v>0</v>
      </c>
      <c r="H24" s="188">
        <f>SUM(H23:H23)</f>
        <v>1977</v>
      </c>
      <c r="I24" s="188">
        <f>SUM(I23:I23)</f>
        <v>-1977</v>
      </c>
      <c r="J24" s="174"/>
    </row>
    <row r="25" spans="1:10" ht="30" customHeight="1" x14ac:dyDescent="0.2">
      <c r="A25" s="181"/>
      <c r="B25" s="187"/>
      <c r="C25" s="187"/>
      <c r="D25" s="187"/>
      <c r="E25" s="187"/>
      <c r="F25" s="174" t="s">
        <v>240</v>
      </c>
      <c r="G25" s="188">
        <f>SUM(G24,G22,G17,G14)</f>
        <v>111630</v>
      </c>
      <c r="H25" s="188">
        <f>SUM(H24,H22,H17,H14)</f>
        <v>144000</v>
      </c>
      <c r="I25" s="188">
        <f>SUM(I24,I22,I17,I14)</f>
        <v>-32370</v>
      </c>
      <c r="J25" s="174"/>
    </row>
    <row r="26" spans="1:10" ht="19.5" customHeight="1" x14ac:dyDescent="0.2">
      <c r="A26" s="162"/>
      <c r="B26" s="162"/>
      <c r="C26" s="162"/>
      <c r="D26" s="162"/>
      <c r="E26" s="162"/>
      <c r="F26" s="162"/>
      <c r="G26" s="162"/>
      <c r="H26" s="162"/>
      <c r="I26" s="162"/>
      <c r="J26" s="162"/>
    </row>
    <row r="27" spans="1:10" ht="19.5" customHeight="1" x14ac:dyDescent="0.2">
      <c r="A27" s="162"/>
      <c r="B27" s="162"/>
      <c r="C27" s="162"/>
      <c r="D27" s="162"/>
      <c r="E27" s="162"/>
      <c r="F27" s="162"/>
      <c r="G27" s="162"/>
      <c r="H27" s="162"/>
      <c r="I27" s="162"/>
      <c r="J27" s="162"/>
    </row>
    <row r="28" spans="1:10" ht="19.5" customHeight="1" x14ac:dyDescent="0.2">
      <c r="A28" s="162"/>
      <c r="B28" s="162"/>
      <c r="C28" s="162"/>
      <c r="D28" s="162"/>
      <c r="E28" s="162"/>
      <c r="F28" s="162"/>
      <c r="G28" s="162"/>
      <c r="H28" s="162"/>
      <c r="I28" s="162"/>
      <c r="J28" s="162"/>
    </row>
    <row r="29" spans="1:10" ht="19.5" customHeight="1" x14ac:dyDescent="0.2">
      <c r="A29" s="162"/>
      <c r="B29" s="162"/>
      <c r="C29" s="162"/>
      <c r="D29" s="162"/>
      <c r="E29" s="162"/>
      <c r="F29" s="162"/>
      <c r="G29" s="162"/>
      <c r="H29" s="162"/>
      <c r="I29" s="162"/>
      <c r="J29" s="162"/>
    </row>
    <row r="30" spans="1:10" ht="19.5" customHeight="1" x14ac:dyDescent="0.2">
      <c r="A30" s="162"/>
      <c r="B30" s="162"/>
      <c r="C30" s="162"/>
      <c r="D30" s="162"/>
      <c r="E30" s="162"/>
      <c r="F30" s="162"/>
      <c r="G30" s="162"/>
      <c r="H30" s="162"/>
      <c r="I30" s="162"/>
      <c r="J30" s="162"/>
    </row>
    <row r="31" spans="1:10" ht="19.5" customHeight="1" x14ac:dyDescent="0.2">
      <c r="A31" s="162"/>
      <c r="B31" s="162"/>
      <c r="C31" s="162"/>
      <c r="D31" s="162"/>
      <c r="E31" s="162"/>
      <c r="F31" s="162"/>
      <c r="G31" s="162"/>
      <c r="H31" s="162"/>
      <c r="I31" s="162"/>
      <c r="J31" s="162"/>
    </row>
    <row r="32" spans="1:10" ht="19.5" customHeight="1" x14ac:dyDescent="0.2">
      <c r="A32" s="162"/>
      <c r="B32" s="162"/>
      <c r="C32" s="162"/>
      <c r="D32" s="162"/>
      <c r="E32" s="162"/>
      <c r="F32" s="162"/>
      <c r="G32" s="162"/>
      <c r="H32" s="162"/>
      <c r="I32" s="162"/>
      <c r="J32" s="162"/>
    </row>
  </sheetData>
  <mergeCells count="14">
    <mergeCell ref="A10:D10"/>
    <mergeCell ref="E10:F10"/>
    <mergeCell ref="I10:J10"/>
    <mergeCell ref="A11:D11"/>
    <mergeCell ref="E6:F6"/>
    <mergeCell ref="A7:F7"/>
    <mergeCell ref="I9:J9"/>
    <mergeCell ref="A5:D5"/>
    <mergeCell ref="E5:F5"/>
    <mergeCell ref="I1:J1"/>
    <mergeCell ref="C2:I2"/>
    <mergeCell ref="A4:D4"/>
    <mergeCell ref="E4:F4"/>
    <mergeCell ref="I4:J4"/>
  </mergeCells>
  <phoneticPr fontId="18"/>
  <hyperlinks>
    <hyperlink ref="J12" r:id="rId1" display="mitsumori\gurandehagakure_heyadai2.pdf" xr:uid="{85C881EB-9662-46EC-8663-CFA33C8FD203}"/>
    <hyperlink ref="J20" r:id="rId2" display="mitsumori\kitte_ryousyuusyo2.pdf" xr:uid="{7E470A36-CAF9-4978-83D7-9CDF6D2903E7}"/>
    <hyperlink ref="J16" r:id="rId3" display="mitsumori\teensmyujikaru_mitumori2.pdf" xr:uid="{F8FA59C7-D4F1-417C-BEDE-926DB885C987}"/>
    <hyperlink ref="J18" r:id="rId4" display="mitsumori\gurandehagakure_heyadai2.pdf" xr:uid="{4898DCE0-AAA4-4A32-88E1-B70094CA58ED}"/>
  </hyperlinks>
  <printOptions horizontalCentered="1"/>
  <pageMargins left="0.78740157480314965" right="0" top="0.98425196850393704" bottom="0.62992125984251968" header="0.51181102362204722" footer="0.51181102362204722"/>
  <pageSetup paperSize="9" scale="91"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3</vt:i4>
      </vt:variant>
    </vt:vector>
  </HeadingPairs>
  <TitlesOfParts>
    <vt:vector size="9" baseType="lpstr">
      <vt:lpstr>財審様式</vt:lpstr>
      <vt:lpstr>委員会年間事業予算管理表(様式1)</vt:lpstr>
      <vt:lpstr>見積企業一覧表(様式5)</vt:lpstr>
      <vt:lpstr>差異発生理由書(様式12)</vt:lpstr>
      <vt:lpstr>収支予算書-修正・補正(様式14)</vt:lpstr>
      <vt:lpstr>収益・費用明細書-修正・補正(様式15)</vt:lpstr>
      <vt:lpstr>'差異発生理由書(様式12)'!Print_Area</vt:lpstr>
      <vt:lpstr>'収益・費用明細書-修正・補正(様式15)'!Print_Area</vt:lpstr>
      <vt:lpstr>'収支予算書-修正・補正(様式14)'!Print_Area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スズキスタイル</dc:creator>
  <cp:lastModifiedBy>スズキスタイル</cp:lastModifiedBy>
  <dcterms:created xsi:type="dcterms:W3CDTF">2021-11-14T13:34:46Z</dcterms:created>
  <dcterms:modified xsi:type="dcterms:W3CDTF">2022-03-14T13:32:35Z</dcterms:modified>
</cp:coreProperties>
</file>