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1月新年会\0995-01F-042S\yosan\yosan\"/>
    </mc:Choice>
  </mc:AlternateContent>
  <xr:revisionPtr revIDLastSave="0" documentId="13_ncr:1_{7D37D9A3-BAC0-40B6-941D-7ABB1B08C369}" xr6:coauthVersionLast="47" xr6:coauthVersionMax="47" xr10:uidLastSave="{00000000-0000-0000-0000-000000000000}"/>
  <bookViews>
    <workbookView xWindow="-108" yWindow="-108" windowWidth="23256" windowHeight="12576" tabRatio="874" activeTab="1" xr2:uid="{00000000-000D-0000-FFFF-FFFF00000000}"/>
  </bookViews>
  <sheets>
    <sheet name="財審様式" sheetId="1" r:id="rId1"/>
    <sheet name="委員会年間事業予算管理表(様式1)" sheetId="2" r:id="rId2"/>
    <sheet name="見積企業一覧表(様式5)" sheetId="5" r:id="rId3"/>
    <sheet name="収支予算書(様式１０)" sheetId="3" r:id="rId4"/>
    <sheet name="収益・費用明細書(様式１１)" sheetId="6" r:id="rId5"/>
    <sheet name="消費税等計算シート（様式１３）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7" l="1"/>
  <c r="C33" i="7"/>
  <c r="B32" i="7"/>
  <c r="B30" i="7"/>
  <c r="B29" i="7"/>
  <c r="B28" i="7"/>
  <c r="B27" i="7"/>
  <c r="B26" i="7"/>
  <c r="B25" i="7"/>
  <c r="B24" i="7"/>
  <c r="B23" i="7"/>
  <c r="B22" i="7"/>
  <c r="B33" i="7"/>
  <c r="F16" i="7"/>
  <c r="E16" i="7"/>
  <c r="D16" i="7"/>
  <c r="C16" i="7"/>
  <c r="B15" i="7"/>
  <c r="B13" i="7"/>
  <c r="B12" i="7"/>
  <c r="B11" i="7"/>
  <c r="B10" i="7"/>
  <c r="B9" i="7"/>
  <c r="B8" i="7"/>
  <c r="B16" i="7" s="1"/>
  <c r="D32" i="3"/>
  <c r="E18" i="3"/>
  <c r="J21" i="6"/>
  <c r="J25" i="6"/>
  <c r="J24" i="6"/>
  <c r="J20" i="6"/>
  <c r="J17" i="6"/>
  <c r="J16" i="6"/>
  <c r="I28" i="6"/>
  <c r="H28" i="6"/>
  <c r="G28" i="6"/>
  <c r="H19" i="6"/>
  <c r="H23" i="6"/>
  <c r="H27" i="6"/>
  <c r="G10" i="6"/>
  <c r="G27" i="6"/>
  <c r="I26" i="6"/>
  <c r="I25" i="6"/>
  <c r="I24" i="6"/>
  <c r="G23" i="6"/>
  <c r="I22" i="6"/>
  <c r="I21" i="6"/>
  <c r="I20" i="6"/>
  <c r="G19" i="6"/>
  <c r="I18" i="6"/>
  <c r="I17" i="6"/>
  <c r="I16" i="6"/>
  <c r="H10" i="6"/>
  <c r="I9" i="6"/>
  <c r="I10" i="6"/>
  <c r="E29" i="3"/>
  <c r="E31" i="3"/>
  <c r="E30" i="3"/>
  <c r="E28" i="3"/>
  <c r="E27" i="3"/>
  <c r="E26" i="3"/>
  <c r="E25" i="3"/>
  <c r="E24" i="3"/>
  <c r="E23" i="3"/>
  <c r="E22" i="3"/>
  <c r="E21" i="3"/>
  <c r="E20" i="3"/>
  <c r="D16" i="3"/>
  <c r="C16" i="3"/>
  <c r="E15" i="3"/>
  <c r="E14" i="3"/>
  <c r="E13" i="3"/>
  <c r="E12" i="3"/>
  <c r="E11" i="3"/>
  <c r="E10" i="3"/>
  <c r="E9" i="3"/>
  <c r="E8" i="3"/>
  <c r="N18" i="2"/>
  <c r="N17" i="2"/>
  <c r="D10" i="5"/>
  <c r="B35" i="7" l="1"/>
  <c r="I27" i="6"/>
  <c r="I23" i="6"/>
  <c r="I19" i="6"/>
  <c r="C32" i="3"/>
  <c r="E19" i="3"/>
  <c r="E32" i="3" s="1"/>
  <c r="D33" i="3"/>
  <c r="E16" i="3"/>
</calcChain>
</file>

<file path=xl/sharedStrings.xml><?xml version="1.0" encoding="utf-8"?>
<sst xmlns="http://schemas.openxmlformats.org/spreadsheetml/2006/main" count="589" uniqueCount="260">
  <si>
    <t>２０１９年度　財審様式フォーム</t>
    <rPh sb="4" eb="6">
      <t>ネンド</t>
    </rPh>
    <rPh sb="7" eb="8">
      <t>ザイ</t>
    </rPh>
    <rPh sb="8" eb="9">
      <t>シン</t>
    </rPh>
    <rPh sb="9" eb="10">
      <t>ヨウ</t>
    </rPh>
    <rPh sb="10" eb="11">
      <t>シキ</t>
    </rPh>
    <phoneticPr fontId="18"/>
  </si>
  <si>
    <t>様式
番号</t>
    <rPh sb="0" eb="2">
      <t>ヨウシキ</t>
    </rPh>
    <rPh sb="3" eb="5">
      <t>バンゴウ</t>
    </rPh>
    <phoneticPr fontId="18"/>
  </si>
  <si>
    <t>様式名称</t>
    <rPh sb="0" eb="2">
      <t>ヨウシキ</t>
    </rPh>
    <rPh sb="2" eb="4">
      <t>メイショウ</t>
    </rPh>
    <phoneticPr fontId="18"/>
  </si>
  <si>
    <t>摘　　　　　要</t>
    <rPh sb="0" eb="1">
      <t>テキ</t>
    </rPh>
    <rPh sb="6" eb="7">
      <t>ヨウ</t>
    </rPh>
    <phoneticPr fontId="18"/>
  </si>
  <si>
    <t xml:space="preserve"> </t>
  </si>
  <si>
    <t>事業会計関連様式</t>
    <rPh sb="0" eb="2">
      <t>ジギョウ</t>
    </rPh>
    <rPh sb="2" eb="4">
      <t>カイケイ</t>
    </rPh>
    <rPh sb="4" eb="8">
      <t>カンレンヨウシキ</t>
    </rPh>
    <phoneticPr fontId="18"/>
  </si>
  <si>
    <t>協議</t>
    <rPh sb="0" eb="2">
      <t>キョウギ</t>
    </rPh>
    <phoneticPr fontId="18"/>
  </si>
  <si>
    <t>審議</t>
    <rPh sb="0" eb="2">
      <t>シンギ</t>
    </rPh>
    <phoneticPr fontId="18"/>
  </si>
  <si>
    <t>修正</t>
    <rPh sb="0" eb="2">
      <t>シュウセイ</t>
    </rPh>
    <phoneticPr fontId="18"/>
  </si>
  <si>
    <t>補正</t>
    <rPh sb="0" eb="2">
      <t>ホセイ</t>
    </rPh>
    <phoneticPr fontId="18"/>
  </si>
  <si>
    <t>決算</t>
    <rPh sb="0" eb="2">
      <t>ケッサン</t>
    </rPh>
    <phoneticPr fontId="18"/>
  </si>
  <si>
    <t>デ</t>
  </si>
  <si>
    <t>紙</t>
    <rPh sb="0" eb="1">
      <t>カミ</t>
    </rPh>
    <phoneticPr fontId="18"/>
  </si>
  <si>
    <t>※議案上程に必要な資料　デ＝デジタル資料　紙＝紙資料　</t>
    <rPh sb="1" eb="3">
      <t>ギアン</t>
    </rPh>
    <rPh sb="3" eb="5">
      <t>ジョウテイ</t>
    </rPh>
    <rPh sb="6" eb="8">
      <t>ヒツヨウ</t>
    </rPh>
    <rPh sb="9" eb="11">
      <t>シリョウ</t>
    </rPh>
    <rPh sb="18" eb="20">
      <t>シリョウ</t>
    </rPh>
    <rPh sb="21" eb="22">
      <t>カミ</t>
    </rPh>
    <rPh sb="23" eb="24">
      <t>カミ</t>
    </rPh>
    <rPh sb="24" eb="26">
      <t>シリョウ</t>
    </rPh>
    <phoneticPr fontId="18"/>
  </si>
  <si>
    <t>事業計画書・事業報告書（議案書）</t>
    <rPh sb="0" eb="2">
      <t>ジギョウ</t>
    </rPh>
    <rPh sb="2" eb="5">
      <t>ケイカクショ</t>
    </rPh>
    <rPh sb="6" eb="8">
      <t>ジギョウ</t>
    </rPh>
    <rPh sb="8" eb="11">
      <t>ホウコクショ</t>
    </rPh>
    <rPh sb="12" eb="14">
      <t>ギアン</t>
    </rPh>
    <rPh sb="14" eb="15">
      <t>ショ</t>
    </rPh>
    <phoneticPr fontId="18"/>
  </si>
  <si>
    <t>◎</t>
  </si>
  <si>
    <t>－</t>
  </si>
  <si>
    <t>※◎＝必要　○＝条件または事業により必要</t>
    <rPh sb="13" eb="15">
      <t>ジギョウ</t>
    </rPh>
    <phoneticPr fontId="18"/>
  </si>
  <si>
    <t>財審様式（本シート）</t>
    <rPh sb="0" eb="1">
      <t>ザイ</t>
    </rPh>
    <rPh sb="1" eb="2">
      <t>シン</t>
    </rPh>
    <rPh sb="2" eb="4">
      <t>ヨウシキ</t>
    </rPh>
    <rPh sb="5" eb="6">
      <t>ホン</t>
    </rPh>
    <phoneticPr fontId="18"/>
  </si>
  <si>
    <t>　●＝押印済み原本が必要</t>
    <rPh sb="3" eb="5">
      <t>オウイン</t>
    </rPh>
    <rPh sb="5" eb="6">
      <t>ズ</t>
    </rPh>
    <rPh sb="7" eb="9">
      <t>ゲンポン</t>
    </rPh>
    <rPh sb="10" eb="12">
      <t>ヒツヨウ</t>
    </rPh>
    <phoneticPr fontId="18"/>
  </si>
  <si>
    <t>様式1</t>
    <rPh sb="0" eb="2">
      <t>ヨウシキ</t>
    </rPh>
    <phoneticPr fontId="18"/>
  </si>
  <si>
    <t>委員会年間事業予算管理表</t>
  </si>
  <si>
    <t>様式2</t>
    <rPh sb="0" eb="2">
      <t>ヨウシキ</t>
    </rPh>
    <phoneticPr fontId="18"/>
  </si>
  <si>
    <t>事業費（仮）決定通知書</t>
  </si>
  <si>
    <t>事業費を使用しない場合は、作成不要</t>
    <rPh sb="0" eb="3">
      <t>ジギョウヒ</t>
    </rPh>
    <rPh sb="4" eb="6">
      <t>シヨウ</t>
    </rPh>
    <rPh sb="9" eb="11">
      <t>バアイ</t>
    </rPh>
    <rPh sb="13" eb="15">
      <t>サクセイ</t>
    </rPh>
    <rPh sb="15" eb="17">
      <t>フヨウ</t>
    </rPh>
    <phoneticPr fontId="18"/>
  </si>
  <si>
    <t>様式3</t>
    <rPh sb="0" eb="2">
      <t>ヨウシキ</t>
    </rPh>
    <phoneticPr fontId="18"/>
  </si>
  <si>
    <t>収支予算書</t>
  </si>
  <si>
    <t>様式4</t>
    <rPh sb="0" eb="2">
      <t>ヨウシキ</t>
    </rPh>
    <phoneticPr fontId="18"/>
  </si>
  <si>
    <t>収益費用明細書</t>
    <rPh sb="1" eb="2">
      <t>エキ</t>
    </rPh>
    <rPh sb="2" eb="4">
      <t>ヒヨウ</t>
    </rPh>
    <phoneticPr fontId="18"/>
  </si>
  <si>
    <t>様式5</t>
    <rPh sb="0" eb="2">
      <t>ヨウシキ</t>
    </rPh>
    <phoneticPr fontId="18"/>
  </si>
  <si>
    <t>見積（請求）企業一覧表</t>
    <rPh sb="3" eb="5">
      <t>セイキュウ</t>
    </rPh>
    <phoneticPr fontId="18"/>
  </si>
  <si>
    <t>計画時には見積書をリンクする
決算時には請求書及び振込受付書をリンクする</t>
    <rPh sb="0" eb="2">
      <t>ケイカク</t>
    </rPh>
    <rPh sb="2" eb="3">
      <t>ジ</t>
    </rPh>
    <rPh sb="5" eb="8">
      <t>ミツモリショ</t>
    </rPh>
    <rPh sb="15" eb="17">
      <t>ケッサン</t>
    </rPh>
    <rPh sb="17" eb="18">
      <t>ジ</t>
    </rPh>
    <rPh sb="20" eb="23">
      <t>セイキュウショ</t>
    </rPh>
    <rPh sb="23" eb="24">
      <t>オヨ</t>
    </rPh>
    <rPh sb="25" eb="27">
      <t>フリコミ</t>
    </rPh>
    <rPh sb="27" eb="29">
      <t>ウケツケ</t>
    </rPh>
    <rPh sb="29" eb="30">
      <t>ショ</t>
    </rPh>
    <phoneticPr fontId="18"/>
  </si>
  <si>
    <t>様式6</t>
    <rPh sb="0" eb="2">
      <t>ヨウシキ</t>
    </rPh>
    <phoneticPr fontId="18"/>
  </si>
  <si>
    <t>講師等出演依頼承諾書</t>
    <rPh sb="0" eb="2">
      <t>コウシ</t>
    </rPh>
    <rPh sb="2" eb="3">
      <t>トウ</t>
    </rPh>
    <rPh sb="3" eb="5">
      <t>シュツエン</t>
    </rPh>
    <rPh sb="5" eb="7">
      <t>イライ</t>
    </rPh>
    <rPh sb="7" eb="10">
      <t>ショウダクショ</t>
    </rPh>
    <phoneticPr fontId="18"/>
  </si>
  <si>
    <t>○</t>
  </si>
  <si>
    <t>●</t>
  </si>
  <si>
    <t>講演等を依頼する場合に必要、規則審査会議と共通書式
決算時には請求書と同じ扱いになります。</t>
    <rPh sb="0" eb="2">
      <t>コウエン</t>
    </rPh>
    <rPh sb="2" eb="3">
      <t>トウ</t>
    </rPh>
    <rPh sb="4" eb="6">
      <t>イライ</t>
    </rPh>
    <rPh sb="8" eb="10">
      <t>バアイ</t>
    </rPh>
    <rPh sb="11" eb="13">
      <t>ヒツヨウ</t>
    </rPh>
    <rPh sb="14" eb="16">
      <t>キソク</t>
    </rPh>
    <rPh sb="16" eb="18">
      <t>シンサ</t>
    </rPh>
    <rPh sb="18" eb="20">
      <t>カイギ</t>
    </rPh>
    <rPh sb="21" eb="23">
      <t>キョウツウ</t>
    </rPh>
    <rPh sb="23" eb="25">
      <t>ショシキ</t>
    </rPh>
    <rPh sb="26" eb="28">
      <t>ケッサン</t>
    </rPh>
    <rPh sb="28" eb="29">
      <t>ジ</t>
    </rPh>
    <rPh sb="31" eb="34">
      <t>セイキュウショ</t>
    </rPh>
    <rPh sb="35" eb="36">
      <t>オナ</t>
    </rPh>
    <rPh sb="37" eb="38">
      <t>アツカ</t>
    </rPh>
    <phoneticPr fontId="18"/>
  </si>
  <si>
    <t>様式7</t>
    <rPh sb="0" eb="2">
      <t>ヨウシキ</t>
    </rPh>
    <phoneticPr fontId="18"/>
  </si>
  <si>
    <t>報酬明細書</t>
    <rPh sb="4" eb="5">
      <t>ショ</t>
    </rPh>
    <phoneticPr fontId="18"/>
  </si>
  <si>
    <t>源泉徴収が発生する場合に必要</t>
    <rPh sb="9" eb="11">
      <t>バアイ</t>
    </rPh>
    <phoneticPr fontId="18"/>
  </si>
  <si>
    <t>様式8</t>
    <rPh sb="0" eb="2">
      <t>ヨウシキ</t>
    </rPh>
    <phoneticPr fontId="18"/>
  </si>
  <si>
    <t>協賛物品内訳書</t>
    <rPh sb="2" eb="4">
      <t>ブッピン</t>
    </rPh>
    <phoneticPr fontId="18"/>
  </si>
  <si>
    <t>協賛金等導入の場合に必要</t>
    <rPh sb="0" eb="3">
      <t>キョウサンキン</t>
    </rPh>
    <rPh sb="3" eb="4">
      <t>トウ</t>
    </rPh>
    <rPh sb="4" eb="6">
      <t>ドウニュウ</t>
    </rPh>
    <rPh sb="7" eb="9">
      <t>バアイ</t>
    </rPh>
    <rPh sb="10" eb="12">
      <t>ヒツヨウ</t>
    </rPh>
    <phoneticPr fontId="18"/>
  </si>
  <si>
    <t>様式9</t>
    <rPh sb="0" eb="2">
      <t>ヨウシキ</t>
    </rPh>
    <phoneticPr fontId="18"/>
  </si>
  <si>
    <t>協賛に関する覚書</t>
  </si>
  <si>
    <t>押印してある紙資料を提出</t>
    <rPh sb="0" eb="2">
      <t>オウイン</t>
    </rPh>
    <rPh sb="6" eb="9">
      <t>カミシリョウ</t>
    </rPh>
    <rPh sb="10" eb="12">
      <t>テイシュツ</t>
    </rPh>
    <phoneticPr fontId="18"/>
  </si>
  <si>
    <t>様式10</t>
    <rPh sb="0" eb="2">
      <t>ヨウシキ</t>
    </rPh>
    <phoneticPr fontId="18"/>
  </si>
  <si>
    <t>収支決算報告書</t>
  </si>
  <si>
    <t>様式11</t>
    <rPh sb="0" eb="2">
      <t>ヨウシキ</t>
    </rPh>
    <phoneticPr fontId="18"/>
  </si>
  <si>
    <t>収益費用明細書（決算用）</t>
    <rPh sb="1" eb="2">
      <t>エキ</t>
    </rPh>
    <rPh sb="2" eb="4">
      <t>ヒヨウ</t>
    </rPh>
    <rPh sb="8" eb="11">
      <t>ケッサンヨウ</t>
    </rPh>
    <phoneticPr fontId="18"/>
  </si>
  <si>
    <t>様式12</t>
    <rPh sb="0" eb="2">
      <t>ヨウシキ</t>
    </rPh>
    <phoneticPr fontId="18"/>
  </si>
  <si>
    <t>差異発生理由書</t>
  </si>
  <si>
    <t>事業終了後、事業支払申請関連様式と請求書を事務局に提出</t>
    <rPh sb="6" eb="10">
      <t>ジギョウシハラ</t>
    </rPh>
    <rPh sb="10" eb="14">
      <t>シンセイカンレン</t>
    </rPh>
    <rPh sb="14" eb="16">
      <t>ヨウシキ</t>
    </rPh>
    <phoneticPr fontId="18"/>
  </si>
  <si>
    <t>様式13</t>
    <rPh sb="0" eb="2">
      <t>ヨウシキ</t>
    </rPh>
    <phoneticPr fontId="18"/>
  </si>
  <si>
    <t>消費税等計算シート</t>
  </si>
  <si>
    <t>様式14</t>
    <rPh sb="0" eb="2">
      <t>ヨウシキ</t>
    </rPh>
    <phoneticPr fontId="18"/>
  </si>
  <si>
    <t>修正・補正収支予算書</t>
    <rPh sb="3" eb="5">
      <t>ホセイ</t>
    </rPh>
    <phoneticPr fontId="18"/>
  </si>
  <si>
    <t>修正予算ならびに補正予算をする場合に使用</t>
    <rPh sb="0" eb="4">
      <t>シュウセイヨサン</t>
    </rPh>
    <rPh sb="8" eb="12">
      <t>ホセイヨサン</t>
    </rPh>
    <rPh sb="15" eb="17">
      <t>バアイ</t>
    </rPh>
    <rPh sb="18" eb="20">
      <t>シヨウ</t>
    </rPh>
    <phoneticPr fontId="18"/>
  </si>
  <si>
    <t>様式15</t>
    <rPh sb="0" eb="2">
      <t>ヨウシキ</t>
    </rPh>
    <phoneticPr fontId="18"/>
  </si>
  <si>
    <t>収益費用明細書（修正・補正用）</t>
    <rPh sb="11" eb="13">
      <t>ホセイ</t>
    </rPh>
    <rPh sb="13" eb="14">
      <t>ヨウ</t>
    </rPh>
    <phoneticPr fontId="18"/>
  </si>
  <si>
    <t>特別領収書関連様式</t>
    <rPh sb="0" eb="5">
      <t>トクベツリョウシュウショ</t>
    </rPh>
    <rPh sb="5" eb="7">
      <t>カンレン</t>
    </rPh>
    <rPh sb="7" eb="9">
      <t>ヨウシキ</t>
    </rPh>
    <phoneticPr fontId="18"/>
  </si>
  <si>
    <t>様式21</t>
    <rPh sb="0" eb="2">
      <t>ヨウシキ</t>
    </rPh>
    <phoneticPr fontId="18"/>
  </si>
  <si>
    <t>特別領収書作成申請書</t>
  </si>
  <si>
    <t>特別領収書の申請に使用</t>
    <rPh sb="0" eb="2">
      <t>トクベツ</t>
    </rPh>
    <rPh sb="2" eb="5">
      <t>リョウシュウショ</t>
    </rPh>
    <rPh sb="6" eb="8">
      <t>シンセイ</t>
    </rPh>
    <rPh sb="9" eb="11">
      <t>シヨウ</t>
    </rPh>
    <phoneticPr fontId="18"/>
  </si>
  <si>
    <t>様式22</t>
    <rPh sb="0" eb="2">
      <t>ヨウシキ</t>
    </rPh>
    <phoneticPr fontId="18"/>
  </si>
  <si>
    <t>特別領収書作成報告書</t>
  </si>
  <si>
    <t>未使用領収書、事業報告書ならびに様式10、様式11、
納品書の写しを添付し提出</t>
    <rPh sb="0" eb="3">
      <t>ミシヨウ</t>
    </rPh>
    <rPh sb="3" eb="6">
      <t>リョウシュウショ</t>
    </rPh>
    <rPh sb="7" eb="12">
      <t>ジギョウホウコクショ</t>
    </rPh>
    <rPh sb="16" eb="18">
      <t>ヨウシキ</t>
    </rPh>
    <rPh sb="21" eb="23">
      <t>ヨウシキ</t>
    </rPh>
    <rPh sb="27" eb="30">
      <t>ノウヒンショ</t>
    </rPh>
    <rPh sb="31" eb="32">
      <t>ウツ</t>
    </rPh>
    <rPh sb="34" eb="36">
      <t>テンプ</t>
    </rPh>
    <rPh sb="37" eb="39">
      <t>テイシュツ</t>
    </rPh>
    <phoneticPr fontId="18"/>
  </si>
  <si>
    <t>様式23</t>
    <rPh sb="0" eb="2">
      <t>ヨウシキ</t>
    </rPh>
    <phoneticPr fontId="18"/>
  </si>
  <si>
    <t>領収書管理台帳</t>
    <rPh sb="0" eb="3">
      <t>リョウシュウショ</t>
    </rPh>
    <rPh sb="3" eb="5">
      <t>カンリ</t>
    </rPh>
    <rPh sb="5" eb="7">
      <t>ダイチョウ</t>
    </rPh>
    <phoneticPr fontId="18"/>
  </si>
  <si>
    <t>特別領収書を管理する時に使用
（領収書つづり及び特別領収書を管理する時に使用）</t>
    <rPh sb="0" eb="2">
      <t>トクベツ</t>
    </rPh>
    <rPh sb="2" eb="5">
      <t>リョウシュウショ</t>
    </rPh>
    <rPh sb="6" eb="8">
      <t>カンリ</t>
    </rPh>
    <rPh sb="10" eb="11">
      <t>トキ</t>
    </rPh>
    <rPh sb="12" eb="14">
      <t>シヨウ</t>
    </rPh>
    <rPh sb="16" eb="19">
      <t>リョウシュウショ</t>
    </rPh>
    <rPh sb="22" eb="23">
      <t>オヨ</t>
    </rPh>
    <rPh sb="24" eb="26">
      <t>トクベツ</t>
    </rPh>
    <rPh sb="26" eb="29">
      <t>リョウシュウショ</t>
    </rPh>
    <rPh sb="30" eb="32">
      <t>カンリ</t>
    </rPh>
    <rPh sb="34" eb="35">
      <t>トキ</t>
    </rPh>
    <rPh sb="36" eb="38">
      <t>シヨウ</t>
    </rPh>
    <phoneticPr fontId="18"/>
  </si>
  <si>
    <t>事業費支払申請関連様式</t>
    <rPh sb="0" eb="2">
      <t>ジギョウ</t>
    </rPh>
    <rPh sb="2" eb="3">
      <t>ヒ</t>
    </rPh>
    <rPh sb="3" eb="5">
      <t>シハラ</t>
    </rPh>
    <rPh sb="5" eb="7">
      <t>シンセイ</t>
    </rPh>
    <rPh sb="7" eb="11">
      <t>カンレンヨウシキ</t>
    </rPh>
    <phoneticPr fontId="18"/>
  </si>
  <si>
    <t>様式31</t>
    <rPh sb="0" eb="2">
      <t>ヨウシキ</t>
    </rPh>
    <phoneticPr fontId="18"/>
  </si>
  <si>
    <t>事業費支払申請書</t>
  </si>
  <si>
    <r>
      <t>事業終了後、様式</t>
    </r>
    <r>
      <rPr>
        <sz val="8"/>
        <color rgb="FFDD0806"/>
        <rFont val="ＭＳ Ｐゴシック"/>
        <family val="3"/>
        <charset val="128"/>
      </rPr>
      <t>12・34</t>
    </r>
    <r>
      <rPr>
        <sz val="8"/>
        <rFont val="ＭＳ Ｐゴシック"/>
        <family val="3"/>
        <charset val="128"/>
      </rPr>
      <t>と請求書を事務局に提出</t>
    </r>
    <rPh sb="0" eb="2">
      <t>ジギョウ</t>
    </rPh>
    <rPh sb="2" eb="5">
      <t>シュウリョウゴ</t>
    </rPh>
    <rPh sb="6" eb="8">
      <t>ヨウシキ</t>
    </rPh>
    <rPh sb="14" eb="17">
      <t>セイキュウショ</t>
    </rPh>
    <rPh sb="18" eb="21">
      <t>ジムキョク</t>
    </rPh>
    <rPh sb="22" eb="24">
      <t>テイシュツ</t>
    </rPh>
    <phoneticPr fontId="18"/>
  </si>
  <si>
    <t>様式32</t>
    <rPh sb="0" eb="2">
      <t>ヨウシキ</t>
    </rPh>
    <phoneticPr fontId="18"/>
  </si>
  <si>
    <t>事業費仮払申請書</t>
  </si>
  <si>
    <t>講師への支払いや海外事業でやむをえず現金が必要な時に使用</t>
    <rPh sb="0" eb="2">
      <t>コウシ</t>
    </rPh>
    <rPh sb="4" eb="6">
      <t>シハラ</t>
    </rPh>
    <rPh sb="8" eb="10">
      <t>カイガイ</t>
    </rPh>
    <rPh sb="10" eb="12">
      <t>ジギョウ</t>
    </rPh>
    <rPh sb="18" eb="20">
      <t>ゲンキン</t>
    </rPh>
    <rPh sb="21" eb="23">
      <t>ヒツヨウ</t>
    </rPh>
    <rPh sb="24" eb="25">
      <t>トキ</t>
    </rPh>
    <rPh sb="26" eb="28">
      <t>シヨウ</t>
    </rPh>
    <phoneticPr fontId="18"/>
  </si>
  <si>
    <t>様式33</t>
    <rPh sb="0" eb="2">
      <t>ヨウシキ</t>
    </rPh>
    <phoneticPr fontId="18"/>
  </si>
  <si>
    <t>事業費仮払精算書</t>
  </si>
  <si>
    <t>仮払いを受けたときの精算書</t>
    <rPh sb="0" eb="2">
      <t>カリバラ</t>
    </rPh>
    <rPh sb="4" eb="5">
      <t>ウ</t>
    </rPh>
    <rPh sb="10" eb="13">
      <t>セイサンショ</t>
    </rPh>
    <phoneticPr fontId="18"/>
  </si>
  <si>
    <t>様式34</t>
    <rPh sb="0" eb="2">
      <t>ヨウシキ</t>
    </rPh>
    <phoneticPr fontId="18"/>
  </si>
  <si>
    <t>事業費支払管理書</t>
    <rPh sb="0" eb="5">
      <t>ジギョウヒシハラ</t>
    </rPh>
    <rPh sb="5" eb="7">
      <t>カンリショ</t>
    </rPh>
    <rPh sb="7" eb="8">
      <t>ショ</t>
    </rPh>
    <phoneticPr fontId="18"/>
  </si>
  <si>
    <t>委員会会計関連様式</t>
    <rPh sb="0" eb="3">
      <t>イインカイ</t>
    </rPh>
    <rPh sb="3" eb="5">
      <t>カイケイ</t>
    </rPh>
    <rPh sb="5" eb="9">
      <t>カンレンヨウシキ</t>
    </rPh>
    <phoneticPr fontId="18"/>
  </si>
  <si>
    <t>様式41</t>
    <rPh sb="0" eb="2">
      <t>ヨウシキ</t>
    </rPh>
    <phoneticPr fontId="18"/>
  </si>
  <si>
    <t>預り金明細書</t>
    <rPh sb="0" eb="1">
      <t>アズカ</t>
    </rPh>
    <rPh sb="2" eb="3">
      <t>キン</t>
    </rPh>
    <rPh sb="3" eb="6">
      <t>メイサイショ</t>
    </rPh>
    <phoneticPr fontId="18"/>
  </si>
  <si>
    <t>預り金がある場合に使用</t>
    <rPh sb="0" eb="1">
      <t>アズカ</t>
    </rPh>
    <rPh sb="2" eb="3">
      <t>キン</t>
    </rPh>
    <rPh sb="6" eb="8">
      <t>バアイ</t>
    </rPh>
    <rPh sb="9" eb="11">
      <t>シヨウ</t>
    </rPh>
    <phoneticPr fontId="18"/>
  </si>
  <si>
    <t>様式42</t>
    <rPh sb="0" eb="2">
      <t>ヨウシキ</t>
    </rPh>
    <phoneticPr fontId="18"/>
  </si>
  <si>
    <t>総勘定元帳</t>
    <rPh sb="0" eb="5">
      <t>ソウカ</t>
    </rPh>
    <phoneticPr fontId="18"/>
  </si>
  <si>
    <t>現金・預金のすべての金銭の動きを記載</t>
    <rPh sb="0" eb="2">
      <t>ゲンキン</t>
    </rPh>
    <rPh sb="3" eb="5">
      <t>ヨキン</t>
    </rPh>
    <rPh sb="10" eb="12">
      <t>キンセン</t>
    </rPh>
    <rPh sb="13" eb="14">
      <t>ウゴ</t>
    </rPh>
    <rPh sb="16" eb="18">
      <t>キサイ</t>
    </rPh>
    <phoneticPr fontId="18"/>
  </si>
  <si>
    <t>地区・ブロック関連様式</t>
    <rPh sb="0" eb="2">
      <t>チク</t>
    </rPh>
    <rPh sb="7" eb="11">
      <t>カンレンヨウシキ</t>
    </rPh>
    <phoneticPr fontId="18"/>
  </si>
  <si>
    <t>様式51</t>
    <rPh sb="0" eb="2">
      <t>ヨウシキ</t>
    </rPh>
    <phoneticPr fontId="18"/>
  </si>
  <si>
    <t>銀行口座届出書
（協議会事務局管理用）</t>
    <rPh sb="0" eb="4">
      <t>ギンコウコウザ</t>
    </rPh>
    <rPh sb="4" eb="7">
      <t>トドケデショ</t>
    </rPh>
    <rPh sb="9" eb="12">
      <t>キョウギカイ</t>
    </rPh>
    <rPh sb="12" eb="15">
      <t>ジムキョク</t>
    </rPh>
    <rPh sb="15" eb="18">
      <t>カンリヨウ</t>
    </rPh>
    <phoneticPr fontId="18"/>
  </si>
  <si>
    <t>本会計、事業用委員会口座を作る場合に必要</t>
    <rPh sb="0" eb="1">
      <t>ホン</t>
    </rPh>
    <rPh sb="1" eb="3">
      <t>カイケイ</t>
    </rPh>
    <rPh sb="4" eb="7">
      <t>ジギョウヨウ</t>
    </rPh>
    <rPh sb="7" eb="10">
      <t>イインカイ</t>
    </rPh>
    <rPh sb="10" eb="12">
      <t>コウザ</t>
    </rPh>
    <rPh sb="13" eb="14">
      <t>ツク</t>
    </rPh>
    <rPh sb="15" eb="17">
      <t>バアイ</t>
    </rPh>
    <rPh sb="18" eb="20">
      <t>ヒツヨウ</t>
    </rPh>
    <phoneticPr fontId="18"/>
  </si>
  <si>
    <t>様式52</t>
    <rPh sb="0" eb="2">
      <t>ヨウシキ</t>
    </rPh>
    <phoneticPr fontId="18"/>
  </si>
  <si>
    <t>預金出納帳</t>
    <rPh sb="0" eb="2">
      <t>ヨキン</t>
    </rPh>
    <rPh sb="2" eb="5">
      <t>スイトウ</t>
    </rPh>
    <phoneticPr fontId="18"/>
  </si>
  <si>
    <t>銀行預金の動きを記載</t>
    <rPh sb="0" eb="4">
      <t>ギンコウヨキン</t>
    </rPh>
    <rPh sb="5" eb="6">
      <t>ウゴ</t>
    </rPh>
    <rPh sb="8" eb="10">
      <t>キサイ</t>
    </rPh>
    <phoneticPr fontId="18"/>
  </si>
  <si>
    <t>様式53</t>
    <rPh sb="0" eb="2">
      <t>ヨウシキ</t>
    </rPh>
    <phoneticPr fontId="18"/>
  </si>
  <si>
    <t>現金出納帳</t>
    <rPh sb="0" eb="5">
      <t>ゲンキンスイトウチョウ</t>
    </rPh>
    <phoneticPr fontId="18"/>
  </si>
  <si>
    <t>手元現金の動きを記載</t>
    <rPh sb="0" eb="2">
      <t>テモト</t>
    </rPh>
    <rPh sb="2" eb="4">
      <t>ゲンキン</t>
    </rPh>
    <rPh sb="5" eb="6">
      <t>ウゴ</t>
    </rPh>
    <rPh sb="8" eb="10">
      <t>キサイ</t>
    </rPh>
    <phoneticPr fontId="18"/>
  </si>
  <si>
    <t>様式54</t>
    <rPh sb="0" eb="2">
      <t>ヨウシキ</t>
    </rPh>
    <phoneticPr fontId="18"/>
  </si>
  <si>
    <t>源泉所得税納付報告書</t>
    <rPh sb="0" eb="2">
      <t>ゲンセン</t>
    </rPh>
    <rPh sb="2" eb="5">
      <t>ショトクゼイ</t>
    </rPh>
    <rPh sb="5" eb="7">
      <t>ノウフ</t>
    </rPh>
    <rPh sb="7" eb="9">
      <t>ホウコク</t>
    </rPh>
    <rPh sb="9" eb="10">
      <t>ショ</t>
    </rPh>
    <phoneticPr fontId="18"/>
  </si>
  <si>
    <t>源泉所得税納付後日本ＪＣへ報告する際に必要</t>
    <rPh sb="0" eb="2">
      <t>ゲンセン</t>
    </rPh>
    <rPh sb="2" eb="5">
      <t>ショトクゼイ</t>
    </rPh>
    <rPh sb="5" eb="7">
      <t>ノウフ</t>
    </rPh>
    <rPh sb="7" eb="8">
      <t>ゴ</t>
    </rPh>
    <rPh sb="8" eb="10">
      <t>ニホン</t>
    </rPh>
    <rPh sb="13" eb="15">
      <t>ホウコク</t>
    </rPh>
    <rPh sb="17" eb="18">
      <t>サイ</t>
    </rPh>
    <rPh sb="19" eb="21">
      <t>ヒツヨウ</t>
    </rPh>
    <phoneticPr fontId="18"/>
  </si>
  <si>
    <t>様式55</t>
    <rPh sb="0" eb="2">
      <t>ヨウシキ</t>
    </rPh>
    <phoneticPr fontId="18"/>
  </si>
  <si>
    <t>銀行口座管理台帳
（協議会管理用、日本JC提出用）</t>
    <rPh sb="0" eb="4">
      <t>ギンコウコウザ</t>
    </rPh>
    <rPh sb="4" eb="8">
      <t>カンリダイチョウ</t>
    </rPh>
    <rPh sb="10" eb="13">
      <t>キョウギカイ</t>
    </rPh>
    <rPh sb="13" eb="16">
      <t>カンリヨウ</t>
    </rPh>
    <rPh sb="17" eb="19">
      <t>ニホン</t>
    </rPh>
    <rPh sb="21" eb="23">
      <t>テイシュツ</t>
    </rPh>
    <rPh sb="23" eb="24">
      <t>ヨウ</t>
    </rPh>
    <phoneticPr fontId="18"/>
  </si>
  <si>
    <r>
      <t>協議会で作った全ての銀行口座を管理する為に、</t>
    </r>
    <r>
      <rPr>
        <b/>
        <sz val="8"/>
        <rFont val="ＭＳ Ｐゴシック"/>
        <family val="3"/>
        <charset val="128"/>
      </rPr>
      <t>協議会の財政担当者が記入・提出</t>
    </r>
    <rPh sb="0" eb="3">
      <t>キョウギカイ</t>
    </rPh>
    <rPh sb="4" eb="5">
      <t>ツク</t>
    </rPh>
    <rPh sb="7" eb="8">
      <t>スベ</t>
    </rPh>
    <rPh sb="10" eb="12">
      <t>ギンコウ</t>
    </rPh>
    <rPh sb="12" eb="14">
      <t>コウザ</t>
    </rPh>
    <rPh sb="15" eb="17">
      <t>カンリ</t>
    </rPh>
    <rPh sb="19" eb="20">
      <t>タメ</t>
    </rPh>
    <rPh sb="22" eb="25">
      <t>キョウギカイ</t>
    </rPh>
    <rPh sb="26" eb="28">
      <t>ザイセイ</t>
    </rPh>
    <rPh sb="28" eb="31">
      <t>タントウシャ</t>
    </rPh>
    <rPh sb="32" eb="34">
      <t>キニュウ</t>
    </rPh>
    <rPh sb="35" eb="37">
      <t>テイシュツ</t>
    </rPh>
    <phoneticPr fontId="18"/>
  </si>
  <si>
    <t>参考資料</t>
    <rPh sb="0" eb="4">
      <t>サンコウシリョウ</t>
    </rPh>
    <phoneticPr fontId="18"/>
  </si>
  <si>
    <t>日本JC専用封筒等価格表</t>
    <rPh sb="0" eb="2">
      <t>ニホン</t>
    </rPh>
    <rPh sb="4" eb="6">
      <t>センヨウ</t>
    </rPh>
    <rPh sb="6" eb="8">
      <t>フウトウ</t>
    </rPh>
    <rPh sb="8" eb="9">
      <t>トウ</t>
    </rPh>
    <rPh sb="9" eb="12">
      <t>カカクヒョウ</t>
    </rPh>
    <phoneticPr fontId="18"/>
  </si>
  <si>
    <t>日本JC専用封筒を使用する場合に様式5に添付</t>
    <rPh sb="0" eb="2">
      <t>ニホン</t>
    </rPh>
    <rPh sb="4" eb="8">
      <t>センヨウフウトウ</t>
    </rPh>
    <rPh sb="9" eb="11">
      <t>シヨウ</t>
    </rPh>
    <rPh sb="13" eb="15">
      <t>バアイ</t>
    </rPh>
    <rPh sb="16" eb="18">
      <t>ヨウシキ</t>
    </rPh>
    <rPh sb="20" eb="22">
      <t>テンプ</t>
    </rPh>
    <phoneticPr fontId="18"/>
  </si>
  <si>
    <t>外部から取得する資料</t>
    <rPh sb="0" eb="2">
      <t>ガイブ</t>
    </rPh>
    <rPh sb="4" eb="6">
      <t>シュトク</t>
    </rPh>
    <rPh sb="8" eb="10">
      <t>シリョウ</t>
    </rPh>
    <phoneticPr fontId="18"/>
  </si>
  <si>
    <t>見積書</t>
    <rPh sb="0" eb="2">
      <t>ミツモリ</t>
    </rPh>
    <rPh sb="2" eb="3">
      <t>ショ</t>
    </rPh>
    <phoneticPr fontId="18"/>
  </si>
  <si>
    <t>請求書</t>
    <rPh sb="0" eb="3">
      <t>セイキュウショ</t>
    </rPh>
    <phoneticPr fontId="18"/>
  </si>
  <si>
    <t>事務局に集約し、スキャンコピーを添付</t>
    <rPh sb="0" eb="3">
      <t>ジムキョク</t>
    </rPh>
    <rPh sb="4" eb="6">
      <t>シュウヤク</t>
    </rPh>
    <rPh sb="16" eb="18">
      <t>テンプ</t>
    </rPh>
    <phoneticPr fontId="18"/>
  </si>
  <si>
    <t>振込受付書</t>
    <rPh sb="0" eb="2">
      <t>フリコミ</t>
    </rPh>
    <rPh sb="2" eb="4">
      <t>ウケツケ</t>
    </rPh>
    <rPh sb="4" eb="5">
      <t>ショ</t>
    </rPh>
    <phoneticPr fontId="18"/>
  </si>
  <si>
    <t>支払完了後に事務局からスキャンコピーを受け取り添付</t>
    <rPh sb="0" eb="2">
      <t>シハライ</t>
    </rPh>
    <rPh sb="2" eb="4">
      <t>カンリョウ</t>
    </rPh>
    <rPh sb="4" eb="5">
      <t>ゴ</t>
    </rPh>
    <rPh sb="6" eb="9">
      <t>ジムキョク</t>
    </rPh>
    <rPh sb="19" eb="20">
      <t>ウ</t>
    </rPh>
    <rPh sb="21" eb="22">
      <t>ト</t>
    </rPh>
    <rPh sb="23" eb="25">
      <t>テンプ</t>
    </rPh>
    <phoneticPr fontId="18"/>
  </si>
  <si>
    <t>［　様式1　］</t>
    <rPh sb="2" eb="4">
      <t>ヨウシキ</t>
    </rPh>
    <phoneticPr fontId="18"/>
  </si>
  <si>
    <t>一般社団法人 佐賀青年会議所</t>
  </si>
  <si>
    <t>専務理事　  渡邉　雅夫</t>
    <rPh sb="0" eb="2">
      <t>センム</t>
    </rPh>
    <rPh sb="2" eb="4">
      <t>リジ</t>
    </rPh>
    <phoneticPr fontId="18"/>
  </si>
  <si>
    <t>殿</t>
    <rPh sb="0" eb="1">
      <t>ドノ</t>
    </rPh>
    <phoneticPr fontId="18"/>
  </si>
  <si>
    <t>ビジネス・防災対策委員会（仮）</t>
    <rPh sb="5" eb="7">
      <t>ボウサイ</t>
    </rPh>
    <rPh sb="7" eb="9">
      <t>タイサク</t>
    </rPh>
    <rPh sb="9" eb="12">
      <t>イインカイ</t>
    </rPh>
    <rPh sb="13" eb="14">
      <t>カリ</t>
    </rPh>
    <phoneticPr fontId="18"/>
  </si>
  <si>
    <t>委員長　飯笹　壽久</t>
    <rPh sb="0" eb="3">
      <t>イインチョウ</t>
    </rPh>
    <phoneticPr fontId="18"/>
  </si>
  <si>
    <t>印</t>
    <rPh sb="0" eb="1">
      <t>イン</t>
    </rPh>
    <phoneticPr fontId="18"/>
  </si>
  <si>
    <t>委員会年間事業予算管理表</t>
    <rPh sb="0" eb="3">
      <t>イインカイ</t>
    </rPh>
    <rPh sb="5" eb="7">
      <t>ジギョウ</t>
    </rPh>
    <phoneticPr fontId="18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</si>
  <si>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18"/>
  </si>
  <si>
    <t>￥</t>
  </si>
  <si>
    <t>年間事業繰入金予定額</t>
    <rPh sb="0" eb="2">
      <t>ネンカン</t>
    </rPh>
    <rPh sb="2" eb="4">
      <t>ジギョウ</t>
    </rPh>
    <rPh sb="4" eb="6">
      <t>クリイレ</t>
    </rPh>
    <rPh sb="6" eb="7">
      <t>キン</t>
    </rPh>
    <rPh sb="7" eb="9">
      <t>ヨテイ</t>
    </rPh>
    <rPh sb="9" eb="10">
      <t>ガク</t>
    </rPh>
    <phoneticPr fontId="18"/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</si>
  <si>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18"/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</si>
  <si>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18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</si>
  <si>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18"/>
  </si>
  <si>
    <t>事　　業　　名　　称</t>
    <rPh sb="0" eb="1">
      <t>コト</t>
    </rPh>
    <rPh sb="3" eb="4">
      <t>ギョウ</t>
    </rPh>
    <rPh sb="6" eb="7">
      <t>メイ</t>
    </rPh>
    <rPh sb="9" eb="10">
      <t>ショウ</t>
    </rPh>
    <phoneticPr fontId="18"/>
  </si>
  <si>
    <r>
      <t>事業繰入金予定額　　　　　　</t>
    </r>
    <r>
      <rPr>
        <sz val="12"/>
        <rFont val="ＭＳ Ｐゴシック"/>
        <family val="3"/>
        <charset val="128"/>
      </rPr>
      <t>（財審議長　記入欄）</t>
    </r>
    <rPh sb="0" eb="2">
      <t>ジギョウ</t>
    </rPh>
    <rPh sb="2" eb="4">
      <t>クリイレ</t>
    </rPh>
    <rPh sb="4" eb="5">
      <t>キン</t>
    </rPh>
    <rPh sb="5" eb="7">
      <t>ヨテイ</t>
    </rPh>
    <rPh sb="7" eb="8">
      <t>ガク</t>
    </rPh>
    <rPh sb="15" eb="16">
      <t>ザイ</t>
    </rPh>
    <rPh sb="16" eb="17">
      <t>シン</t>
    </rPh>
    <rPh sb="17" eb="19">
      <t>ギチョウ</t>
    </rPh>
    <rPh sb="20" eb="22">
      <t>キニュウ</t>
    </rPh>
    <rPh sb="22" eb="23">
      <t>ラン</t>
    </rPh>
    <phoneticPr fontId="18"/>
  </si>
  <si>
    <t>外部資金予定額　　　（登録料等）</t>
    <rPh sb="0" eb="2">
      <t>ガイブ</t>
    </rPh>
    <rPh sb="2" eb="4">
      <t>シキン</t>
    </rPh>
    <rPh sb="4" eb="6">
      <t>ヨテイ</t>
    </rPh>
    <rPh sb="6" eb="7">
      <t>ガク</t>
    </rPh>
    <rPh sb="11" eb="13">
      <t>トウロク</t>
    </rPh>
    <rPh sb="13" eb="15">
      <t>リョウナド</t>
    </rPh>
    <phoneticPr fontId="18"/>
  </si>
  <si>
    <r>
      <t xml:space="preserve">収益計
</t>
    </r>
    <r>
      <rPr>
        <sz val="9"/>
        <rFont val="ＭＳ Ｐゴシック"/>
        <family val="3"/>
        <charset val="128"/>
      </rPr>
      <t>（事業繰入金＋外部資金予定額）</t>
    </r>
    <rPh sb="0" eb="2">
      <t>シュウエキ</t>
    </rPh>
    <rPh sb="2" eb="3">
      <t>ケイ</t>
    </rPh>
    <rPh sb="5" eb="7">
      <t>ジギョウ</t>
    </rPh>
    <rPh sb="7" eb="9">
      <t>クリイレ</t>
    </rPh>
    <rPh sb="9" eb="10">
      <t>キン</t>
    </rPh>
    <rPh sb="11" eb="13">
      <t>ガイブ</t>
    </rPh>
    <rPh sb="13" eb="15">
      <t>シキン</t>
    </rPh>
    <rPh sb="15" eb="17">
      <t>ヨテイ</t>
    </rPh>
    <rPh sb="17" eb="18">
      <t>ガク</t>
    </rPh>
    <phoneticPr fontId="18"/>
  </si>
  <si>
    <t>月</t>
    <rPh sb="0" eb="1">
      <t>ガツ</t>
    </rPh>
    <phoneticPr fontId="18"/>
  </si>
  <si>
    <t>日</t>
    <rPh sb="0" eb="1">
      <t>ヒ</t>
    </rPh>
    <phoneticPr fontId="18"/>
  </si>
  <si>
    <t>２０２２年度新年会</t>
  </si>
  <si>
    <t>合　　計</t>
    <rPh sb="0" eb="1">
      <t>ゴウ</t>
    </rPh>
    <rPh sb="3" eb="4">
      <t>ケイ</t>
    </rPh>
    <phoneticPr fontId="18"/>
  </si>
  <si>
    <t>（単位　：　円）</t>
    <rPh sb="1" eb="3">
      <t>タンイ</t>
    </rPh>
    <rPh sb="6" eb="7">
      <t>エン</t>
    </rPh>
    <phoneticPr fontId="18"/>
  </si>
  <si>
    <t>予　算　額</t>
    <rPh sb="0" eb="5">
      <t>ヨサンガク</t>
    </rPh>
    <phoneticPr fontId="18"/>
  </si>
  <si>
    <t>摘　　要</t>
    <rPh sb="0" eb="4">
      <t>テキヨウ</t>
    </rPh>
    <phoneticPr fontId="18"/>
  </si>
  <si>
    <t>（収　益　の　部）</t>
    <rPh sb="1" eb="2">
      <t>オサム</t>
    </rPh>
    <rPh sb="3" eb="4">
      <t>エキ</t>
    </rPh>
    <rPh sb="7" eb="8">
      <t>ブ</t>
    </rPh>
    <phoneticPr fontId="18"/>
  </si>
  <si>
    <t>登 録 料 収 益</t>
    <rPh sb="0" eb="5">
      <t>トウロクリョウ</t>
    </rPh>
    <rPh sb="6" eb="7">
      <t>オサム</t>
    </rPh>
    <rPh sb="8" eb="9">
      <t>エキ</t>
    </rPh>
    <phoneticPr fontId="18"/>
  </si>
  <si>
    <t>寄 付 金 収 益</t>
    <rPh sb="0" eb="5">
      <t>キフキン</t>
    </rPh>
    <rPh sb="6" eb="7">
      <t>オサム</t>
    </rPh>
    <rPh sb="8" eb="9">
      <t>エキ</t>
    </rPh>
    <phoneticPr fontId="18"/>
  </si>
  <si>
    <t>補 助 金</t>
    <rPh sb="0" eb="5">
      <t>ホジョキン</t>
    </rPh>
    <phoneticPr fontId="18"/>
  </si>
  <si>
    <t>助 成 金</t>
    <rPh sb="0" eb="5">
      <t>ジョセイキン</t>
    </rPh>
    <phoneticPr fontId="18"/>
  </si>
  <si>
    <t>広 告 料 収 益</t>
    <rPh sb="0" eb="5">
      <t>コウコクリョウ</t>
    </rPh>
    <rPh sb="6" eb="7">
      <t>オサム</t>
    </rPh>
    <rPh sb="8" eb="9">
      <t>エキ</t>
    </rPh>
    <phoneticPr fontId="18"/>
  </si>
  <si>
    <t>販　売　収　益</t>
    <rPh sb="0" eb="3">
      <t>ハンバイ</t>
    </rPh>
    <rPh sb="4" eb="5">
      <t>オサム</t>
    </rPh>
    <rPh sb="6" eb="7">
      <t>エキ</t>
    </rPh>
    <phoneticPr fontId="18"/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</si>
  <si>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18"/>
  </si>
  <si>
    <t>雑　　収　　益</t>
    <rPh sb="0" eb="1">
      <t>ザツ</t>
    </rPh>
    <rPh sb="3" eb="4">
      <t>オサム</t>
    </rPh>
    <rPh sb="6" eb="7">
      <t>エキ</t>
    </rPh>
    <phoneticPr fontId="18"/>
  </si>
  <si>
    <t>収益計</t>
    <rPh sb="0" eb="2">
      <t>シュウエキ</t>
    </rPh>
    <rPh sb="2" eb="3">
      <t>ケイ</t>
    </rPh>
    <phoneticPr fontId="18"/>
  </si>
  <si>
    <t>会場設営費</t>
    <rPh sb="0" eb="2">
      <t>カイジョウ</t>
    </rPh>
    <rPh sb="2" eb="5">
      <t>セツエイヒ</t>
    </rPh>
    <phoneticPr fontId="18"/>
  </si>
  <si>
    <t>会場費</t>
    <rPh sb="0" eb="2">
      <t>カイジョウ</t>
    </rPh>
    <rPh sb="2" eb="3">
      <t>ヒ</t>
    </rPh>
    <phoneticPr fontId="18"/>
  </si>
  <si>
    <t>企画・演出費</t>
    <rPh sb="0" eb="2">
      <t>キカク</t>
    </rPh>
    <rPh sb="3" eb="5">
      <t>エンシュツ</t>
    </rPh>
    <rPh sb="5" eb="6">
      <t>ヒ</t>
    </rPh>
    <phoneticPr fontId="18"/>
  </si>
  <si>
    <t>本部団関係費</t>
    <rPh sb="0" eb="2">
      <t>ホンブ</t>
    </rPh>
    <rPh sb="2" eb="3">
      <t>ダン</t>
    </rPh>
    <rPh sb="3" eb="6">
      <t>カンケイヒ</t>
    </rPh>
    <phoneticPr fontId="18"/>
  </si>
  <si>
    <t>講師関係費</t>
    <rPh sb="0" eb="2">
      <t>コウシ</t>
    </rPh>
    <rPh sb="2" eb="5">
      <t>カンケイヒ</t>
    </rPh>
    <phoneticPr fontId="18"/>
  </si>
  <si>
    <t>広報費</t>
    <rPh sb="0" eb="3">
      <t>コウホウヒ</t>
    </rPh>
    <phoneticPr fontId="18"/>
  </si>
  <si>
    <t>資料作成費</t>
    <rPh sb="0" eb="2">
      <t>シリョウ</t>
    </rPh>
    <rPh sb="2" eb="5">
      <t>サクセイヒ</t>
    </rPh>
    <phoneticPr fontId="18"/>
  </si>
  <si>
    <t>報告書作成費</t>
    <rPh sb="0" eb="3">
      <t>ホウコクショ</t>
    </rPh>
    <rPh sb="3" eb="6">
      <t>サクセイヒ</t>
    </rPh>
    <phoneticPr fontId="18"/>
  </si>
  <si>
    <t>渉外費</t>
    <rPh sb="0" eb="2">
      <t>ショウガイ</t>
    </rPh>
    <rPh sb="2" eb="3">
      <t>ヒ</t>
    </rPh>
    <phoneticPr fontId="18"/>
  </si>
  <si>
    <t>旅費交通費</t>
    <rPh sb="0" eb="2">
      <t>リョヒ</t>
    </rPh>
    <rPh sb="2" eb="5">
      <t>コウツウヒ</t>
    </rPh>
    <phoneticPr fontId="18"/>
  </si>
  <si>
    <t>参加記念品費</t>
    <rPh sb="0" eb="2">
      <t>サンカ</t>
    </rPh>
    <rPh sb="2" eb="5">
      <t>キネンヒン</t>
    </rPh>
    <rPh sb="5" eb="6">
      <t>ヒ</t>
    </rPh>
    <phoneticPr fontId="18"/>
  </si>
  <si>
    <t>保険料</t>
    <rPh sb="0" eb="3">
      <t>ホケンリョウ</t>
    </rPh>
    <phoneticPr fontId="18"/>
  </si>
  <si>
    <t>通信費</t>
    <rPh sb="0" eb="3">
      <t>ツウシンヒ</t>
    </rPh>
    <phoneticPr fontId="18"/>
  </si>
  <si>
    <t>雑費</t>
    <rPh sb="0" eb="2">
      <t>ザッピ</t>
    </rPh>
    <phoneticPr fontId="18"/>
  </si>
  <si>
    <t>予備費</t>
    <rPh sb="0" eb="3">
      <t>ヨビヒ</t>
    </rPh>
    <phoneticPr fontId="18"/>
  </si>
  <si>
    <t>（　収　益　明　細　書　）</t>
    <rPh sb="2" eb="3">
      <t>オサム</t>
    </rPh>
    <rPh sb="4" eb="5">
      <t>エキ</t>
    </rPh>
    <rPh sb="6" eb="11">
      <t>メイサイショ</t>
    </rPh>
    <phoneticPr fontId="18"/>
  </si>
  <si>
    <t>（単位：円）</t>
    <rPh sb="1" eb="3">
      <t>タンイ</t>
    </rPh>
    <rPh sb="4" eb="5">
      <t>エン</t>
    </rPh>
    <phoneticPr fontId="18"/>
  </si>
  <si>
    <t>科　　　　　目</t>
    <rPh sb="0" eb="7">
      <t>カモク</t>
    </rPh>
    <phoneticPr fontId="18"/>
  </si>
  <si>
    <t>摘　　　　　　　　　要</t>
    <rPh sb="0" eb="11">
      <t>テキヨウ</t>
    </rPh>
    <phoneticPr fontId="18"/>
  </si>
  <si>
    <t>Ｎｏ</t>
  </si>
  <si>
    <t>(</t>
  </si>
  <si>
    <t>)</t>
  </si>
  <si>
    <t>　　　　　　　　　　　　　　　　　　　　　　合　　　　　　　計</t>
    <rPh sb="22" eb="23">
      <t>ゴウ</t>
    </rPh>
    <rPh sb="30" eb="31">
      <t>ゴウケイ</t>
    </rPh>
    <phoneticPr fontId="18"/>
  </si>
  <si>
    <t>（　費　用　明　細　書　）</t>
    <rPh sb="2" eb="3">
      <t>ヒ</t>
    </rPh>
    <rPh sb="4" eb="5">
      <t>ヨウ</t>
    </rPh>
    <rPh sb="6" eb="11">
      <t>メイサイショ</t>
    </rPh>
    <phoneticPr fontId="18"/>
  </si>
  <si>
    <t>細　　　目</t>
    <rPh sb="0" eb="5">
      <t>サイモク</t>
    </rPh>
    <phoneticPr fontId="18"/>
  </si>
  <si>
    <t>摘　　　　要</t>
    <rPh sb="0" eb="1">
      <t>テキ</t>
    </rPh>
    <rPh sb="5" eb="6">
      <t>テキヨウ</t>
    </rPh>
    <phoneticPr fontId="18"/>
  </si>
  <si>
    <t>新年会会場</t>
    <rPh sb="0" eb="3">
      <t>シンネンカイ</t>
    </rPh>
    <rPh sb="3" eb="5">
      <t>カイジョウ</t>
    </rPh>
    <phoneticPr fontId="18"/>
  </si>
  <si>
    <t>控室</t>
    <rPh sb="0" eb="2">
      <t>ヒカエシツ</t>
    </rPh>
    <phoneticPr fontId="18"/>
  </si>
  <si>
    <t>　小　　　　計</t>
    <rPh sb="1" eb="7">
      <t>ショウケイ</t>
    </rPh>
    <phoneticPr fontId="18"/>
  </si>
  <si>
    <t>演出費</t>
    <rPh sb="0" eb="2">
      <t>エンシュツ</t>
    </rPh>
    <rPh sb="2" eb="3">
      <t>ヒ</t>
    </rPh>
    <phoneticPr fontId="18"/>
  </si>
  <si>
    <t>ティーンズミュージカル佐賀</t>
    <rPh sb="11" eb="13">
      <t>サガ</t>
    </rPh>
    <phoneticPr fontId="18"/>
  </si>
  <si>
    <t>　小　　　　計</t>
    <rPh sb="1" eb="2">
      <t>ショウ</t>
    </rPh>
    <rPh sb="6" eb="7">
      <t>ショウケイ</t>
    </rPh>
    <phoneticPr fontId="18"/>
  </si>
  <si>
    <t>　合　　　　計</t>
    <rPh sb="1" eb="2">
      <t>ゴウ</t>
    </rPh>
    <rPh sb="6" eb="7">
      <t>ショウケイ</t>
    </rPh>
    <phoneticPr fontId="18"/>
  </si>
  <si>
    <t>〔様式5〕</t>
    <rPh sb="1" eb="3">
      <t>ヨウシキシキ</t>
    </rPh>
    <phoneticPr fontId="18"/>
  </si>
  <si>
    <t>（　事業名称　：２０２２年度新年会）</t>
  </si>
  <si>
    <t>採　　　用　　　企　　業</t>
  </si>
  <si>
    <t>相　見　積　企　業</t>
  </si>
  <si>
    <t>見積/請求№</t>
    <rPh sb="3" eb="5">
      <t>セイキュウ</t>
    </rPh>
    <phoneticPr fontId="18"/>
  </si>
  <si>
    <t>企　業　名</t>
  </si>
  <si>
    <t>支払内容（科目・細目）</t>
    <rPh sb="5" eb="7">
      <t>カモク</t>
    </rPh>
    <rPh sb="8" eb="10">
      <t>サイモク</t>
    </rPh>
    <phoneticPr fontId="18"/>
  </si>
  <si>
    <t>金  額</t>
  </si>
  <si>
    <t>有効期限</t>
  </si>
  <si>
    <t>見積№</t>
  </si>
  <si>
    <t>金額</t>
  </si>
  <si>
    <t>グランデはがくれ</t>
  </si>
  <si>
    <t>ティーンズミュージカルＳＡＧＡ</t>
  </si>
  <si>
    <t>合計金額</t>
    <rPh sb="2" eb="4">
      <t>キンガク</t>
    </rPh>
    <phoneticPr fontId="18"/>
  </si>
  <si>
    <t>※支払先が個人の場合は個人名を企業名欄に記載し、金額欄は源泉税込みの金額を記載すること。</t>
    <rPh sb="1" eb="3">
      <t>シハライ</t>
    </rPh>
    <rPh sb="3" eb="4">
      <t>サキ</t>
    </rPh>
    <rPh sb="5" eb="7">
      <t>コジン</t>
    </rPh>
    <rPh sb="8" eb="10">
      <t>バアイ</t>
    </rPh>
    <rPh sb="11" eb="14">
      <t>コジンメイ</t>
    </rPh>
    <rPh sb="15" eb="17">
      <t>キギョウ</t>
    </rPh>
    <rPh sb="17" eb="18">
      <t>メイ</t>
    </rPh>
    <rPh sb="18" eb="19">
      <t>ラン</t>
    </rPh>
    <rPh sb="20" eb="22">
      <t>キサイ</t>
    </rPh>
    <rPh sb="24" eb="26">
      <t>キンガク</t>
    </rPh>
    <rPh sb="26" eb="27">
      <t>ラン</t>
    </rPh>
    <rPh sb="28" eb="30">
      <t>ゲンセン</t>
    </rPh>
    <rPh sb="30" eb="31">
      <t>ゼイ</t>
    </rPh>
    <rPh sb="31" eb="32">
      <t>コ</t>
    </rPh>
    <rPh sb="34" eb="36">
      <t>キンガク</t>
    </rPh>
    <rPh sb="37" eb="39">
      <t>キサイ</t>
    </rPh>
    <phoneticPr fontId="18"/>
  </si>
  <si>
    <t>※見積書へ見積Ｎｏ．をまたは請求書へ請求Ｎｏ．を記載すること。</t>
    <rPh sb="1" eb="4">
      <t>ミツモリショ</t>
    </rPh>
    <rPh sb="5" eb="7">
      <t>ミツ</t>
    </rPh>
    <rPh sb="14" eb="17">
      <t>セイキュウショ</t>
    </rPh>
    <rPh sb="18" eb="20">
      <t>セイキュウ</t>
    </rPh>
    <rPh sb="24" eb="26">
      <t>キサイ</t>
    </rPh>
    <phoneticPr fontId="18"/>
  </si>
  <si>
    <t>※採用企業合計＋振込手数料＋予備費＝事業費合計になることを確認下さい。</t>
    <rPh sb="1" eb="3">
      <t>サイヨウ</t>
    </rPh>
    <rPh sb="3" eb="5">
      <t>キギョウ</t>
    </rPh>
    <rPh sb="5" eb="7">
      <t>ゴウケイ</t>
    </rPh>
    <rPh sb="8" eb="10">
      <t>フリコ</t>
    </rPh>
    <rPh sb="10" eb="13">
      <t>テスウリョウ</t>
    </rPh>
    <rPh sb="14" eb="17">
      <t>ヨビヒ</t>
    </rPh>
    <rPh sb="18" eb="20">
      <t>ジギョウ</t>
    </rPh>
    <rPh sb="20" eb="21">
      <t>ヒ</t>
    </rPh>
    <rPh sb="21" eb="23">
      <t>ゴウケイ</t>
    </rPh>
    <rPh sb="29" eb="31">
      <t>カクニン</t>
    </rPh>
    <rPh sb="31" eb="32">
      <t>クダ</t>
    </rPh>
    <phoneticPr fontId="18"/>
  </si>
  <si>
    <t>振込口座名義</t>
    <rPh sb="0" eb="6">
      <t>フリコミコウザメイギ</t>
    </rPh>
    <phoneticPr fontId="18"/>
  </si>
  <si>
    <t>支払銀行・支店名</t>
    <rPh sb="0" eb="2">
      <t>シハライ</t>
    </rPh>
    <rPh sb="2" eb="4">
      <t>ギンコウ</t>
    </rPh>
    <phoneticPr fontId="18"/>
  </si>
  <si>
    <t>口座番号</t>
    <rPh sb="0" eb="2">
      <t>コウザ</t>
    </rPh>
    <rPh sb="2" eb="4">
      <t>バンゴウ</t>
    </rPh>
    <phoneticPr fontId="18"/>
  </si>
  <si>
    <t>振込手数料</t>
    <rPh sb="0" eb="2">
      <t>フリコミ</t>
    </rPh>
    <rPh sb="2" eb="5">
      <t>テスウリョウ</t>
    </rPh>
    <phoneticPr fontId="18"/>
  </si>
  <si>
    <t>公立学校共済組合佐賀宿泊所グランデはがくれ</t>
    <rPh sb="0" eb="2">
      <t>コウリツ</t>
    </rPh>
    <rPh sb="2" eb="4">
      <t>ガッコウ</t>
    </rPh>
    <rPh sb="4" eb="6">
      <t>キョウサイ</t>
    </rPh>
    <rPh sb="6" eb="8">
      <t>クミアイ</t>
    </rPh>
    <rPh sb="8" eb="10">
      <t>サガ</t>
    </rPh>
    <rPh sb="10" eb="13">
      <t>シュクハクショ</t>
    </rPh>
    <phoneticPr fontId="18"/>
  </si>
  <si>
    <t>佐賀銀行本店</t>
    <rPh sb="0" eb="4">
      <t>サガギンコウ</t>
    </rPh>
    <rPh sb="4" eb="6">
      <t>ホンテン</t>
    </rPh>
    <phoneticPr fontId="18"/>
  </si>
  <si>
    <t>普通７９９３９７</t>
    <rPh sb="0" eb="2">
      <t>フツウ</t>
    </rPh>
    <phoneticPr fontId="18"/>
  </si>
  <si>
    <t>現金支払い</t>
  </si>
  <si>
    <t>現金支払い</t>
    <rPh sb="0" eb="4">
      <t>ゲンキンシハラ</t>
    </rPh>
    <phoneticPr fontId="18"/>
  </si>
  <si>
    <t>株式会社　スタジオ風のたね</t>
    <rPh sb="0" eb="4">
      <t>カブシキガイシャ</t>
    </rPh>
    <rPh sb="9" eb="10">
      <t>カゼ</t>
    </rPh>
    <phoneticPr fontId="18"/>
  </si>
  <si>
    <t>普通３０２８１３７</t>
    <rPh sb="0" eb="2">
      <t>フツウ</t>
    </rPh>
    <phoneticPr fontId="18"/>
  </si>
  <si>
    <t>合計金額</t>
    <rPh sb="0" eb="4">
      <t>ゴウケイキンガク</t>
    </rPh>
    <phoneticPr fontId="18"/>
  </si>
  <si>
    <t>案内状一式（返信ハガキ・封筒含む）　５５枚</t>
    <rPh sb="0" eb="3">
      <t>アンナイジョウ</t>
    </rPh>
    <rPh sb="3" eb="5">
      <t>イッシキ</t>
    </rPh>
    <rPh sb="6" eb="8">
      <t>ヘンシン</t>
    </rPh>
    <rPh sb="12" eb="14">
      <t>フウトウ</t>
    </rPh>
    <rPh sb="14" eb="15">
      <t>フク</t>
    </rPh>
    <rPh sb="20" eb="21">
      <t>マイ</t>
    </rPh>
    <phoneticPr fontId="18"/>
  </si>
  <si>
    <t>ローソン</t>
    <phoneticPr fontId="18"/>
  </si>
  <si>
    <t>会場費・通信費等</t>
    <rPh sb="0" eb="2">
      <t>カイジョウ</t>
    </rPh>
    <rPh sb="2" eb="3">
      <t>ヒ</t>
    </rPh>
    <rPh sb="4" eb="7">
      <t>ツウシンヒ</t>
    </rPh>
    <rPh sb="7" eb="8">
      <t>トウ</t>
    </rPh>
    <phoneticPr fontId="18"/>
  </si>
  <si>
    <t>通信費</t>
    <rPh sb="0" eb="3">
      <t>ツウシンヒ</t>
    </rPh>
    <phoneticPr fontId="18"/>
  </si>
  <si>
    <t>ver.1</t>
    <phoneticPr fontId="18"/>
  </si>
  <si>
    <t>スクリーン</t>
    <phoneticPr fontId="18"/>
  </si>
  <si>
    <t>[様式10]</t>
    <rPh sb="1" eb="3">
      <t>ヨウシキ</t>
    </rPh>
    <phoneticPr fontId="18"/>
  </si>
  <si>
    <t>事　業　収　支　決　算　報　告　書</t>
    <rPh sb="0" eb="3">
      <t>ジギョウ</t>
    </rPh>
    <rPh sb="4" eb="7">
      <t>シュウシ</t>
    </rPh>
    <rPh sb="8" eb="11">
      <t>ケッサン</t>
    </rPh>
    <rPh sb="12" eb="17">
      <t>ホウコクショ</t>
    </rPh>
    <phoneticPr fontId="18"/>
  </si>
  <si>
    <t>科　　　　目</t>
    <rPh sb="0" eb="1">
      <t>カ</t>
    </rPh>
    <rPh sb="5" eb="6">
      <t>メ</t>
    </rPh>
    <phoneticPr fontId="18"/>
  </si>
  <si>
    <t>決　算　額</t>
    <rPh sb="0" eb="5">
      <t>ケッサンガク</t>
    </rPh>
    <phoneticPr fontId="18"/>
  </si>
  <si>
    <t>差　　　異</t>
    <rPh sb="0" eb="5">
      <t>サイ</t>
    </rPh>
    <phoneticPr fontId="18"/>
  </si>
  <si>
    <t>収　　　益　　　計</t>
    <rPh sb="0" eb="1">
      <t>オサム</t>
    </rPh>
    <rPh sb="4" eb="5">
      <t>エキ</t>
    </rPh>
    <rPh sb="8" eb="9">
      <t>ケイ</t>
    </rPh>
    <phoneticPr fontId="18"/>
  </si>
  <si>
    <t>（費　用　の　部）</t>
    <rPh sb="1" eb="2">
      <t>ヒ</t>
    </rPh>
    <rPh sb="3" eb="4">
      <t>ヨウ</t>
    </rPh>
    <rPh sb="7" eb="8">
      <t>ブ</t>
    </rPh>
    <phoneticPr fontId="18"/>
  </si>
  <si>
    <t>費　　　用　　　計</t>
    <rPh sb="0" eb="1">
      <t>ヒ</t>
    </rPh>
    <rPh sb="4" eb="5">
      <t>ヨウ</t>
    </rPh>
    <rPh sb="8" eb="9">
      <t>ケイ</t>
    </rPh>
    <phoneticPr fontId="18"/>
  </si>
  <si>
    <t>収　 支　 差 　額</t>
    <rPh sb="0" eb="1">
      <t>オサム</t>
    </rPh>
    <rPh sb="3" eb="4">
      <t>ササ</t>
    </rPh>
    <rPh sb="6" eb="7">
      <t>サ</t>
    </rPh>
    <rPh sb="9" eb="10">
      <t>ガク</t>
    </rPh>
    <phoneticPr fontId="18"/>
  </si>
  <si>
    <t>事業名称：２０２２年度新年会</t>
    <rPh sb="0" eb="2">
      <t>ジギョウ</t>
    </rPh>
    <rPh sb="2" eb="4">
      <t>メイショウ</t>
    </rPh>
    <rPh sb="9" eb="11">
      <t>ネンド</t>
    </rPh>
    <rPh sb="11" eb="14">
      <t>シンネンカイ</t>
    </rPh>
    <phoneticPr fontId="18"/>
  </si>
  <si>
    <t>上記の収支差額（余剰金）は、第４回理事会の承認を経て一般会計に繰り入れる。　　　</t>
    <rPh sb="0" eb="2">
      <t>ジョウキ</t>
    </rPh>
    <rPh sb="3" eb="5">
      <t>シュウシ</t>
    </rPh>
    <rPh sb="5" eb="7">
      <t>サガク</t>
    </rPh>
    <rPh sb="8" eb="11">
      <t>ヨジョウキン</t>
    </rPh>
    <rPh sb="14" eb="15">
      <t>ダイ</t>
    </rPh>
    <rPh sb="16" eb="17">
      <t>カイ</t>
    </rPh>
    <rPh sb="17" eb="20">
      <t>リジカイ</t>
    </rPh>
    <rPh sb="21" eb="23">
      <t>ショウニン</t>
    </rPh>
    <rPh sb="24" eb="25">
      <t>ケイ</t>
    </rPh>
    <rPh sb="26" eb="28">
      <t>イッパン</t>
    </rPh>
    <rPh sb="28" eb="30">
      <t>カイケイ</t>
    </rPh>
    <rPh sb="31" eb="34">
      <t>クリイ</t>
    </rPh>
    <phoneticPr fontId="18"/>
  </si>
  <si>
    <t>[様式11]</t>
    <rPh sb="1" eb="3">
      <t>ヨウシキ</t>
    </rPh>
    <phoneticPr fontId="18"/>
  </si>
  <si>
    <t>（決算用）</t>
    <rPh sb="1" eb="3">
      <t>ケッサン</t>
    </rPh>
    <rPh sb="3" eb="4">
      <t>ヨウ</t>
    </rPh>
    <phoneticPr fontId="18"/>
  </si>
  <si>
    <t>差　　　　異</t>
    <rPh sb="0" eb="6">
      <t>サイ</t>
    </rPh>
    <phoneticPr fontId="18"/>
  </si>
  <si>
    <t>（決算用）</t>
    <rPh sb="1" eb="4">
      <t>ケッサンヨウ</t>
    </rPh>
    <phoneticPr fontId="18"/>
  </si>
  <si>
    <t>会場設営費</t>
    <rPh sb="0" eb="5">
      <t>カイジョウセツエイヒ</t>
    </rPh>
    <phoneticPr fontId="18"/>
  </si>
  <si>
    <t>案内状切手料９４円５１枚
返信ハガキ切手６３円５１枚</t>
    <rPh sb="0" eb="3">
      <t>アンナイジョウ</t>
    </rPh>
    <rPh sb="3" eb="6">
      <t>キッテリョウ</t>
    </rPh>
    <rPh sb="8" eb="9">
      <t>エン</t>
    </rPh>
    <rPh sb="11" eb="12">
      <t>マイ</t>
    </rPh>
    <rPh sb="13" eb="15">
      <t>ヘンシン</t>
    </rPh>
    <rPh sb="18" eb="20">
      <t>キッテ</t>
    </rPh>
    <rPh sb="22" eb="23">
      <t>エン</t>
    </rPh>
    <rPh sb="25" eb="26">
      <t>マイ</t>
    </rPh>
    <phoneticPr fontId="18"/>
  </si>
  <si>
    <t>[様式13]</t>
    <rPh sb="1" eb="3">
      <t>ヨウシキ</t>
    </rPh>
    <phoneticPr fontId="18"/>
  </si>
  <si>
    <t>　　　　　消　費　税　等　計　算　シ　ー　ト</t>
    <rPh sb="5" eb="10">
      <t>ショウヒゼイ</t>
    </rPh>
    <rPh sb="11" eb="12">
      <t>トウ</t>
    </rPh>
    <rPh sb="13" eb="16">
      <t>ケイサン</t>
    </rPh>
    <phoneticPr fontId="18"/>
  </si>
  <si>
    <t>１．収益の部</t>
    <rPh sb="2" eb="4">
      <t>シュウエキ</t>
    </rPh>
    <rPh sb="5" eb="6">
      <t>ブ</t>
    </rPh>
    <phoneticPr fontId="18"/>
  </si>
  <si>
    <t>勘定科目</t>
    <rPh sb="0" eb="2">
      <t>カンジョウ</t>
    </rPh>
    <rPh sb="2" eb="4">
      <t>カモク</t>
    </rPh>
    <phoneticPr fontId="18"/>
  </si>
  <si>
    <t>決算額(①+②+③+④)</t>
    <rPh sb="0" eb="3">
      <t>ケッサンガク</t>
    </rPh>
    <phoneticPr fontId="18"/>
  </si>
  <si>
    <t>課税収益①
税率８％</t>
    <rPh sb="0" eb="2">
      <t>カゼイ</t>
    </rPh>
    <rPh sb="2" eb="4">
      <t>シュウエキ</t>
    </rPh>
    <rPh sb="6" eb="8">
      <t>ゼイリツ</t>
    </rPh>
    <phoneticPr fontId="18"/>
  </si>
  <si>
    <t>非課税収益②</t>
    <rPh sb="0" eb="3">
      <t>ヒカゼイ</t>
    </rPh>
    <rPh sb="3" eb="5">
      <t>シュウエキ</t>
    </rPh>
    <phoneticPr fontId="18"/>
  </si>
  <si>
    <t>特定収益③</t>
    <rPh sb="0" eb="2">
      <t>トクテイ</t>
    </rPh>
    <rPh sb="2" eb="4">
      <t>シュウエキ</t>
    </rPh>
    <phoneticPr fontId="18"/>
  </si>
  <si>
    <t>その他収益④</t>
    <rPh sb="0" eb="3">
      <t>ソノタ</t>
    </rPh>
    <rPh sb="3" eb="5">
      <t>シュウエキ</t>
    </rPh>
    <phoneticPr fontId="18"/>
  </si>
  <si>
    <t>登録料収益</t>
    <rPh sb="0" eb="3">
      <t>トウロクリョウ</t>
    </rPh>
    <rPh sb="3" eb="5">
      <t>シュウエキ</t>
    </rPh>
    <phoneticPr fontId="18"/>
  </si>
  <si>
    <t>寄付金収益</t>
    <rPh sb="0" eb="3">
      <t>キフキン</t>
    </rPh>
    <rPh sb="3" eb="5">
      <t>シュウエキ</t>
    </rPh>
    <phoneticPr fontId="18"/>
  </si>
  <si>
    <t>補助金</t>
    <rPh sb="0" eb="3">
      <t>ホジョキン</t>
    </rPh>
    <phoneticPr fontId="18"/>
  </si>
  <si>
    <t>助成金</t>
    <rPh sb="0" eb="3">
      <t>ジョセイキン</t>
    </rPh>
    <phoneticPr fontId="18"/>
  </si>
  <si>
    <t>広告料収益</t>
    <rPh sb="0" eb="3">
      <t>コウコクリョウ</t>
    </rPh>
    <rPh sb="3" eb="5">
      <t>シュウエキ</t>
    </rPh>
    <phoneticPr fontId="18"/>
  </si>
  <si>
    <t>販売収益</t>
    <rPh sb="0" eb="2">
      <t>ハンバイ</t>
    </rPh>
    <rPh sb="2" eb="4">
      <t>シュウエキ</t>
    </rPh>
    <phoneticPr fontId="18"/>
  </si>
  <si>
    <t>事業繰入金</t>
    <rPh sb="0" eb="2">
      <t>ジギョウ</t>
    </rPh>
    <rPh sb="2" eb="4">
      <t>クリイレ</t>
    </rPh>
    <rPh sb="4" eb="5">
      <t>キン</t>
    </rPh>
    <phoneticPr fontId="18"/>
  </si>
  <si>
    <t>雑収益</t>
    <rPh sb="0" eb="3">
      <t>ザツシュウエキ</t>
    </rPh>
    <phoneticPr fontId="18"/>
  </si>
  <si>
    <t>２．費用の部</t>
    <rPh sb="2" eb="4">
      <t>ヒヨウ</t>
    </rPh>
    <rPh sb="5" eb="6">
      <t>ブ</t>
    </rPh>
    <phoneticPr fontId="18"/>
  </si>
  <si>
    <t>決算額(①+②)</t>
    <rPh sb="0" eb="3">
      <t>ケッサンガク</t>
    </rPh>
    <phoneticPr fontId="18"/>
  </si>
  <si>
    <t>課税支出①
税率８％</t>
    <rPh sb="0" eb="2">
      <t>カゼイ</t>
    </rPh>
    <rPh sb="2" eb="4">
      <t>シシュツ</t>
    </rPh>
    <rPh sb="6" eb="8">
      <t>ゼイリツ</t>
    </rPh>
    <phoneticPr fontId="18"/>
  </si>
  <si>
    <t>非課税その他②</t>
    <rPh sb="0" eb="3">
      <t>ヒカゼイ</t>
    </rPh>
    <rPh sb="3" eb="6">
      <t>ソノタ</t>
    </rPh>
    <phoneticPr fontId="18"/>
  </si>
  <si>
    <t>渉外費</t>
    <rPh sb="0" eb="3">
      <t>ショウガイヒ</t>
    </rPh>
    <phoneticPr fontId="18"/>
  </si>
  <si>
    <t>費用計</t>
    <rPh sb="0" eb="2">
      <t>ヒヨウ</t>
    </rPh>
    <rPh sb="2" eb="3">
      <t>ケイ</t>
    </rPh>
    <phoneticPr fontId="18"/>
  </si>
  <si>
    <t>■収　　 支 　　差　 　額</t>
    <rPh sb="1" eb="2">
      <t>オサム</t>
    </rPh>
    <rPh sb="5" eb="6">
      <t>シ</t>
    </rPh>
    <rPh sb="9" eb="10">
      <t>サ</t>
    </rPh>
    <rPh sb="13" eb="14">
      <t>ガク</t>
    </rPh>
    <phoneticPr fontId="18"/>
  </si>
  <si>
    <t>　※内税にて全て記載して下さい。</t>
    <rPh sb="2" eb="4">
      <t>ウチゼイ</t>
    </rPh>
    <rPh sb="6" eb="7">
      <t>スベ</t>
    </rPh>
    <rPh sb="8" eb="10">
      <t>キサイ</t>
    </rPh>
    <rPh sb="12" eb="13">
      <t>クダ</t>
    </rPh>
    <phoneticPr fontId="18"/>
  </si>
  <si>
    <t>事業名称：２０２２年度新年会</t>
    <rPh sb="0" eb="4">
      <t>ジギョウメイショウ</t>
    </rPh>
    <rPh sb="9" eb="10">
      <t>ネン</t>
    </rPh>
    <rPh sb="10" eb="11">
      <t>ド</t>
    </rPh>
    <rPh sb="11" eb="14">
      <t>シンネンカイ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</si>
</sst>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_ "/>
    <numFmt numFmtId="179" formatCode="#,##0;&quot;△ &quot;#,##0"/>
  </numFmts>
  <fonts count="41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25"/>
      <color rgb="FF0000D4"/>
      <name val="ＭＳ Ｐゴシック"/>
      <family val="3"/>
      <charset val="128"/>
    </font>
    <font>
      <u/>
      <sz val="11"/>
      <color rgb="FF80008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DD0806"/>
      <name val="ＭＳ Ｐゴシック"/>
      <family val="3"/>
      <charset val="128"/>
    </font>
    <font>
      <sz val="7"/>
      <name val="ＭＳ Ｐゴシック"/>
      <family val="3"/>
      <charset val="128"/>
    </font>
    <font>
      <u/>
      <sz val="8.25"/>
      <color rgb="FF0033CC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DD080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26"/>
      <name val="ＭＳ Ｐ明朝"/>
      <family val="1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8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 style="thin">
        <color rgb="FF000000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medium">
        <color indexed="64"/>
      </bottom>
      <diagonal/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/>
    <xf numFmtId="38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38" fontId="19" fillId="0" borderId="0" applyFont="0" applyFill="0" applyBorder="0" applyAlignment="0" applyProtection="0"/>
  </cellStyleXfs>
  <cellXfs count="273">
    <xf numFmtId="0" fontId="19" fillId="0" borderId="0" xfId="0" applyFont="1" applyAlignment="1"/>
    <xf numFmtId="0" fontId="22" fillId="33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33" borderId="0" xfId="0" applyFont="1" applyFill="1" applyAlignment="1">
      <alignment horizontal="left" vertical="top"/>
    </xf>
    <xf numFmtId="0" fontId="0" fillId="33" borderId="0" xfId="0" applyFont="1" applyFill="1" applyAlignment="1">
      <alignment vertical="top" wrapText="1"/>
    </xf>
    <xf numFmtId="0" fontId="23" fillId="33" borderId="0" xfId="0" applyFont="1" applyFill="1" applyAlignment="1">
      <alignment horizontal="left"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33" borderId="0" xfId="0" applyFont="1" applyFill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5" fillId="33" borderId="18" xfId="0" applyFont="1" applyFill="1" applyBorder="1" applyAlignment="1">
      <alignment horizontal="left" vertical="center" wrapText="1"/>
    </xf>
    <xf numFmtId="0" fontId="23" fillId="33" borderId="12" xfId="0" applyFont="1" applyFill="1" applyBorder="1" applyAlignment="1">
      <alignment horizontal="left" vertical="center" wrapText="1"/>
    </xf>
    <xf numFmtId="0" fontId="25" fillId="33" borderId="0" xfId="0" applyFont="1" applyFill="1" applyAlignment="1">
      <alignment horizontal="left" vertical="center" wrapText="1"/>
    </xf>
    <xf numFmtId="0" fontId="24" fillId="33" borderId="19" xfId="0" applyFont="1" applyFill="1" applyBorder="1" applyAlignment="1">
      <alignment horizontal="center" vertical="center" wrapText="1"/>
    </xf>
    <xf numFmtId="0" fontId="26" fillId="33" borderId="1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top"/>
    </xf>
    <xf numFmtId="0" fontId="24" fillId="33" borderId="0" xfId="0" applyFont="1" applyFill="1" applyAlignment="1">
      <alignment horizontal="left" vertical="center" wrapText="1"/>
    </xf>
    <xf numFmtId="0" fontId="20" fillId="33" borderId="12" xfId="43" applyFill="1" applyBorder="1" applyAlignment="1">
      <alignment horizontal="left" vertical="center"/>
    </xf>
    <xf numFmtId="0" fontId="25" fillId="33" borderId="18" xfId="0" applyFont="1" applyFill="1" applyBorder="1" applyAlignment="1">
      <alignment vertical="center" wrapText="1"/>
    </xf>
    <xf numFmtId="0" fontId="20" fillId="33" borderId="20" xfId="43" applyFill="1" applyBorder="1" applyAlignment="1">
      <alignment horizontal="left" vertical="center"/>
    </xf>
    <xf numFmtId="0" fontId="24" fillId="33" borderId="21" xfId="0" applyFont="1" applyFill="1" applyBorder="1" applyAlignment="1">
      <alignment horizontal="left" vertical="center" wrapText="1"/>
    </xf>
    <xf numFmtId="0" fontId="25" fillId="33" borderId="17" xfId="0" applyFont="1" applyFill="1" applyBorder="1" applyAlignment="1">
      <alignment vertical="center" wrapText="1"/>
    </xf>
    <xf numFmtId="0" fontId="22" fillId="33" borderId="22" xfId="0" applyFont="1" applyFill="1" applyBorder="1" applyAlignment="1">
      <alignment horizontal="center" vertical="center"/>
    </xf>
    <xf numFmtId="0" fontId="22" fillId="33" borderId="16" xfId="0" applyFont="1" applyFill="1" applyBorder="1" applyAlignment="1">
      <alignment horizontal="center" vertical="center"/>
    </xf>
    <xf numFmtId="0" fontId="24" fillId="33" borderId="23" xfId="0" applyFont="1" applyFill="1" applyBorder="1" applyAlignment="1">
      <alignment horizontal="center" vertical="center" wrapText="1"/>
    </xf>
    <xf numFmtId="0" fontId="24" fillId="33" borderId="24" xfId="0" applyFont="1" applyFill="1" applyBorder="1" applyAlignment="1">
      <alignment horizontal="center" vertical="center" wrapText="1"/>
    </xf>
    <xf numFmtId="0" fontId="24" fillId="33" borderId="21" xfId="0" applyFont="1" applyFill="1" applyBorder="1" applyAlignment="1">
      <alignment horizontal="left" vertical="center"/>
    </xf>
    <xf numFmtId="0" fontId="20" fillId="33" borderId="0" xfId="43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vertical="center" wrapText="1"/>
    </xf>
    <xf numFmtId="0" fontId="28" fillId="33" borderId="18" xfId="0" applyFont="1" applyFill="1" applyBorder="1" applyAlignment="1">
      <alignment vertical="center" wrapText="1"/>
    </xf>
    <xf numFmtId="0" fontId="24" fillId="33" borderId="21" xfId="0" applyFont="1" applyFill="1" applyBorder="1" applyAlignment="1">
      <alignment horizontal="center" vertical="center" wrapText="1"/>
    </xf>
    <xf numFmtId="0" fontId="25" fillId="33" borderId="17" xfId="0" applyFont="1" applyFill="1" applyBorder="1" applyAlignment="1">
      <alignment horizontal="center" vertical="center" wrapText="1"/>
    </xf>
    <xf numFmtId="0" fontId="25" fillId="33" borderId="0" xfId="0" applyFont="1" applyFill="1" applyAlignment="1">
      <alignment horizontal="center" vertical="center" wrapText="1"/>
    </xf>
    <xf numFmtId="0" fontId="24" fillId="33" borderId="22" xfId="0" applyFont="1" applyFill="1" applyBorder="1" applyAlignment="1">
      <alignment horizontal="left" vertical="center"/>
    </xf>
    <xf numFmtId="0" fontId="25" fillId="33" borderId="16" xfId="0" applyFont="1" applyFill="1" applyBorder="1" applyAlignment="1">
      <alignment vertical="center" wrapText="1"/>
    </xf>
    <xf numFmtId="0" fontId="24" fillId="0" borderId="22" xfId="45" applyFont="1" applyFill="1" applyBorder="1" applyAlignment="1">
      <alignment horizontal="left" vertical="center"/>
    </xf>
    <xf numFmtId="0" fontId="25" fillId="0" borderId="16" xfId="45" applyFont="1" applyFill="1" applyBorder="1" applyAlignment="1">
      <alignment vertical="center" wrapText="1"/>
    </xf>
    <xf numFmtId="0" fontId="0" fillId="0" borderId="0" xfId="45" applyFont="1" applyFill="1"/>
    <xf numFmtId="0" fontId="20" fillId="0" borderId="12" xfId="43" applyBorder="1" applyAlignment="1">
      <alignment horizontal="left" vertical="center"/>
    </xf>
    <xf numFmtId="0" fontId="24" fillId="0" borderId="0" xfId="45" applyFont="1" applyFill="1" applyAlignment="1">
      <alignment horizontal="left" vertical="center" wrapText="1"/>
    </xf>
    <xf numFmtId="0" fontId="24" fillId="0" borderId="23" xfId="45" applyFont="1" applyFill="1" applyBorder="1" applyAlignment="1">
      <alignment horizontal="center" vertical="center" wrapText="1"/>
    </xf>
    <xf numFmtId="0" fontId="24" fillId="0" borderId="24" xfId="45" applyFont="1" applyFill="1" applyBorder="1" applyAlignment="1">
      <alignment horizontal="center" vertical="center" wrapText="1"/>
    </xf>
    <xf numFmtId="0" fontId="25" fillId="0" borderId="18" xfId="45" applyFont="1" applyFill="1" applyBorder="1" applyAlignment="1">
      <alignment vertical="center" wrapText="1"/>
    </xf>
    <xf numFmtId="0" fontId="24" fillId="0" borderId="19" xfId="45" applyFont="1" applyFill="1" applyBorder="1" applyAlignment="1">
      <alignment horizontal="center" vertical="center" wrapText="1"/>
    </xf>
    <xf numFmtId="0" fontId="24" fillId="0" borderId="17" xfId="45" applyFont="1" applyFill="1" applyBorder="1" applyAlignment="1">
      <alignment horizontal="center" vertical="center" wrapText="1"/>
    </xf>
    <xf numFmtId="0" fontId="29" fillId="0" borderId="12" xfId="43" applyFont="1" applyBorder="1" applyAlignment="1">
      <alignment horizontal="left" vertical="center"/>
    </xf>
    <xf numFmtId="0" fontId="29" fillId="0" borderId="20" xfId="43" applyFont="1" applyBorder="1" applyAlignment="1">
      <alignment horizontal="left" vertical="center"/>
    </xf>
    <xf numFmtId="0" fontId="25" fillId="0" borderId="21" xfId="45" applyFont="1" applyFill="1" applyBorder="1" applyAlignment="1">
      <alignment horizontal="left" vertical="center" wrapText="1"/>
    </xf>
    <xf numFmtId="0" fontId="24" fillId="33" borderId="22" xfId="0" applyFont="1" applyFill="1" applyBorder="1" applyAlignment="1">
      <alignment horizontal="center" vertical="center" wrapText="1"/>
    </xf>
    <xf numFmtId="0" fontId="0" fillId="0" borderId="16" xfId="0" applyFont="1" applyBorder="1" applyAlignment="1"/>
    <xf numFmtId="0" fontId="0" fillId="0" borderId="12" xfId="0" applyFont="1" applyBorder="1" applyAlignment="1"/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8" xfId="0" applyFont="1" applyBorder="1" applyAlignment="1"/>
    <xf numFmtId="0" fontId="0" fillId="0" borderId="17" xfId="0" applyFont="1" applyBorder="1" applyAlignment="1">
      <alignment horizontal="center"/>
    </xf>
    <xf numFmtId="0" fontId="24" fillId="0" borderId="18" xfId="45" applyFont="1" applyFill="1" applyBorder="1" applyAlignment="1">
      <alignment horizontal="left" vertical="center" wrapText="1"/>
    </xf>
    <xf numFmtId="0" fontId="0" fillId="0" borderId="20" xfId="0" applyFont="1" applyBorder="1" applyAlignment="1"/>
    <xf numFmtId="0" fontId="0" fillId="0" borderId="21" xfId="0" applyFont="1" applyBorder="1" applyAlignment="1"/>
    <xf numFmtId="0" fontId="24" fillId="0" borderId="17" xfId="45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31" fontId="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distributed" vertical="center"/>
    </xf>
    <xf numFmtId="0" fontId="33" fillId="0" borderId="28" xfId="0" applyFont="1" applyBorder="1" applyAlignment="1">
      <alignment horizontal="center" vertical="center"/>
    </xf>
    <xf numFmtId="176" fontId="34" fillId="0" borderId="29" xfId="0" applyNumberFormat="1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6" fontId="34" fillId="0" borderId="0" xfId="0" applyNumberFormat="1" applyFont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176" fontId="34" fillId="0" borderId="32" xfId="0" applyNumberFormat="1" applyFont="1" applyBorder="1" applyAlignment="1">
      <alignment horizontal="left" vertical="center"/>
    </xf>
    <xf numFmtId="38" fontId="32" fillId="0" borderId="36" xfId="1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177" fontId="32" fillId="0" borderId="20" xfId="0" applyNumberFormat="1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178" fontId="32" fillId="0" borderId="21" xfId="0" applyNumberFormat="1" applyFont="1" applyBorder="1" applyAlignment="1">
      <alignment horizontal="right" vertical="center"/>
    </xf>
    <xf numFmtId="38" fontId="31" fillId="0" borderId="17" xfId="1" applyFont="1" applyBorder="1" applyAlignment="1">
      <alignment horizontal="center" vertical="center"/>
    </xf>
    <xf numFmtId="177" fontId="32" fillId="0" borderId="21" xfId="0" applyNumberFormat="1" applyFont="1" applyBorder="1" applyAlignment="1">
      <alignment horizontal="right" vertical="center"/>
    </xf>
    <xf numFmtId="179" fontId="32" fillId="0" borderId="37" xfId="1" applyNumberFormat="1" applyFont="1" applyBorder="1" applyAlignment="1">
      <alignment vertical="center"/>
    </xf>
    <xf numFmtId="179" fontId="32" fillId="0" borderId="21" xfId="1" applyNumberFormat="1" applyFont="1" applyBorder="1" applyAlignment="1">
      <alignment vertical="center"/>
    </xf>
    <xf numFmtId="179" fontId="32" fillId="0" borderId="19" xfId="1" applyNumberFormat="1" applyFont="1" applyBorder="1" applyAlignment="1">
      <alignment vertical="center"/>
    </xf>
    <xf numFmtId="179" fontId="32" fillId="0" borderId="39" xfId="1" applyNumberFormat="1" applyFont="1" applyBorder="1" applyAlignment="1">
      <alignment vertical="center"/>
    </xf>
    <xf numFmtId="0" fontId="0" fillId="0" borderId="0" xfId="46" applyFont="1" applyFill="1"/>
    <xf numFmtId="0" fontId="0" fillId="0" borderId="24" xfId="46" applyFont="1" applyFill="1" applyBorder="1" applyAlignment="1">
      <alignment vertical="center"/>
    </xf>
    <xf numFmtId="0" fontId="0" fillId="0" borderId="17" xfId="46" applyFont="1" applyFill="1" applyBorder="1" applyAlignment="1">
      <alignment vertical="center"/>
    </xf>
    <xf numFmtId="0" fontId="0" fillId="0" borderId="0" xfId="46" applyFont="1" applyFill="1" applyAlignment="1">
      <alignment horizontal="center" vertical="center"/>
    </xf>
    <xf numFmtId="0" fontId="20" fillId="0" borderId="41" xfId="43" applyFill="1" applyBorder="1" applyAlignment="1">
      <alignment horizontal="center" vertical="center"/>
    </xf>
    <xf numFmtId="0" fontId="0" fillId="0" borderId="0" xfId="46" applyFont="1" applyFill="1" applyAlignment="1">
      <alignment horizontal="right"/>
    </xf>
    <xf numFmtId="0" fontId="32" fillId="0" borderId="0" xfId="46" applyFont="1" applyBorder="1" applyAlignment="1">
      <alignment horizontal="centerContinuous"/>
    </xf>
    <xf numFmtId="0" fontId="0" fillId="0" borderId="0" xfId="46" applyFont="1" applyBorder="1" applyAlignment="1">
      <alignment horizontal="centerContinuous"/>
    </xf>
    <xf numFmtId="0" fontId="25" fillId="0" borderId="45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center" vertical="center"/>
    </xf>
    <xf numFmtId="0" fontId="0" fillId="0" borderId="46" xfId="46" applyFont="1" applyFill="1" applyBorder="1" applyAlignment="1">
      <alignment horizontal="center" vertical="center"/>
    </xf>
    <xf numFmtId="0" fontId="0" fillId="0" borderId="47" xfId="46" applyFont="1" applyFill="1" applyBorder="1" applyAlignment="1">
      <alignment horizontal="center" vertical="center"/>
    </xf>
    <xf numFmtId="0" fontId="0" fillId="0" borderId="48" xfId="46" applyFont="1" applyFill="1" applyBorder="1" applyAlignment="1">
      <alignment horizontal="center" vertical="center"/>
    </xf>
    <xf numFmtId="179" fontId="0" fillId="0" borderId="24" xfId="1" applyNumberFormat="1" applyFont="1" applyBorder="1" applyAlignment="1">
      <alignment vertical="center"/>
    </xf>
    <xf numFmtId="0" fontId="35" fillId="0" borderId="24" xfId="46" applyFont="1" applyFill="1" applyBorder="1" applyAlignment="1">
      <alignment horizontal="center"/>
    </xf>
    <xf numFmtId="0" fontId="0" fillId="0" borderId="24" xfId="46" applyFont="1" applyFill="1" applyBorder="1"/>
    <xf numFmtId="179" fontId="0" fillId="0" borderId="49" xfId="1" applyNumberFormat="1" applyFont="1" applyBorder="1" applyAlignment="1"/>
    <xf numFmtId="179" fontId="0" fillId="0" borderId="17" xfId="1" applyNumberFormat="1" applyFont="1" applyBorder="1" applyAlignment="1">
      <alignment vertical="center"/>
    </xf>
    <xf numFmtId="0" fontId="35" fillId="0" borderId="17" xfId="46" applyFont="1" applyFill="1" applyBorder="1" applyAlignment="1">
      <alignment horizontal="center"/>
    </xf>
    <xf numFmtId="0" fontId="0" fillId="0" borderId="17" xfId="46" applyFont="1" applyFill="1" applyBorder="1"/>
    <xf numFmtId="179" fontId="0" fillId="0" borderId="50" xfId="1" applyNumberFormat="1" applyFont="1" applyBorder="1" applyAlignment="1"/>
    <xf numFmtId="0" fontId="0" fillId="0" borderId="52" xfId="46" applyFont="1" applyFill="1" applyBorder="1" applyAlignment="1">
      <alignment vertical="center"/>
    </xf>
    <xf numFmtId="179" fontId="0" fillId="0" borderId="52" xfId="1" applyNumberFormat="1" applyFont="1" applyBorder="1" applyAlignment="1">
      <alignment vertical="center"/>
    </xf>
    <xf numFmtId="0" fontId="35" fillId="0" borderId="52" xfId="46" applyFont="1" applyFill="1" applyBorder="1" applyAlignment="1">
      <alignment horizontal="center"/>
    </xf>
    <xf numFmtId="0" fontId="0" fillId="0" borderId="52" xfId="46" applyFont="1" applyFill="1" applyBorder="1"/>
    <xf numFmtId="179" fontId="0" fillId="0" borderId="53" xfId="1" applyNumberFormat="1" applyFont="1" applyBorder="1" applyAlignment="1"/>
    <xf numFmtId="0" fontId="0" fillId="0" borderId="52" xfId="46" applyFont="1" applyFill="1" applyBorder="1" applyAlignment="1">
      <alignment horizontal="center"/>
    </xf>
    <xf numFmtId="179" fontId="0" fillId="0" borderId="53" xfId="1" applyNumberFormat="1" applyFont="1" applyBorder="1" applyAlignment="1">
      <alignment horizontal="right"/>
    </xf>
    <xf numFmtId="179" fontId="0" fillId="0" borderId="0" xfId="1" applyNumberFormat="1" applyFont="1" applyAlignment="1"/>
    <xf numFmtId="0" fontId="36" fillId="0" borderId="0" xfId="0" applyFont="1" applyAlignment="1"/>
    <xf numFmtId="0" fontId="23" fillId="0" borderId="0" xfId="46" applyFont="1" applyBorder="1"/>
    <xf numFmtId="0" fontId="36" fillId="0" borderId="0" xfId="46" applyFont="1" applyFill="1"/>
    <xf numFmtId="0" fontId="38" fillId="0" borderId="0" xfId="46" applyFont="1" applyFill="1" applyAlignment="1">
      <alignment horizontal="left"/>
    </xf>
    <xf numFmtId="0" fontId="0" fillId="0" borderId="0" xfId="46" applyFont="1" applyFill="1" applyAlignment="1">
      <alignment horizontal="left"/>
    </xf>
    <xf numFmtId="0" fontId="25" fillId="0" borderId="54" xfId="46" applyFont="1" applyFill="1" applyBorder="1" applyAlignment="1">
      <alignment horizontal="center" vertical="center"/>
    </xf>
    <xf numFmtId="0" fontId="0" fillId="0" borderId="55" xfId="46" applyFont="1" applyFill="1" applyBorder="1" applyAlignment="1">
      <alignment horizontal="center" vertical="center"/>
    </xf>
    <xf numFmtId="0" fontId="0" fillId="0" borderId="28" xfId="46" applyFont="1" applyFill="1" applyBorder="1" applyAlignment="1">
      <alignment horizontal="center" vertical="center"/>
    </xf>
    <xf numFmtId="0" fontId="0" fillId="0" borderId="56" xfId="46" applyFont="1" applyFill="1" applyBorder="1" applyAlignment="1">
      <alignment horizontal="center" vertical="center"/>
    </xf>
    <xf numFmtId="0" fontId="20" fillId="0" borderId="57" xfId="43" applyBorder="1" applyAlignment="1">
      <alignment horizontal="center" vertical="center"/>
    </xf>
    <xf numFmtId="0" fontId="0" fillId="0" borderId="58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left" vertical="center"/>
    </xf>
    <xf numFmtId="0" fontId="0" fillId="0" borderId="59" xfId="0" applyFont="1" applyBorder="1" applyAlignment="1">
      <alignment vertical="center"/>
    </xf>
    <xf numFmtId="0" fontId="0" fillId="0" borderId="0" xfId="46" applyFont="1" applyFill="1" applyAlignment="1">
      <alignment horizontal="left" vertical="center" indent="1"/>
    </xf>
    <xf numFmtId="176" fontId="0" fillId="0" borderId="0" xfId="46" applyNumberFormat="1" applyFont="1" applyFill="1" applyAlignment="1">
      <alignment vertical="center"/>
    </xf>
    <xf numFmtId="0" fontId="0" fillId="0" borderId="52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vertical="center"/>
    </xf>
    <xf numFmtId="0" fontId="0" fillId="0" borderId="51" xfId="46" applyFont="1" applyFill="1" applyBorder="1" applyAlignment="1">
      <alignment horizontal="right"/>
    </xf>
    <xf numFmtId="179" fontId="0" fillId="0" borderId="53" xfId="46" applyNumberFormat="1" applyFont="1" applyFill="1" applyBorder="1"/>
    <xf numFmtId="0" fontId="20" fillId="0" borderId="51" xfId="43" applyFill="1" applyBorder="1" applyAlignment="1">
      <alignment horizontal="center" vertical="center"/>
    </xf>
    <xf numFmtId="179" fontId="0" fillId="0" borderId="23" xfId="46" applyNumberFormat="1" applyFont="1" applyFill="1" applyBorder="1" applyAlignment="1">
      <alignment vertical="center"/>
    </xf>
    <xf numFmtId="31" fontId="0" fillId="0" borderId="52" xfId="46" applyNumberFormat="1" applyFont="1" applyFill="1" applyBorder="1" applyAlignment="1">
      <alignment horizontal="right"/>
    </xf>
    <xf numFmtId="0" fontId="0" fillId="0" borderId="17" xfId="46" applyFont="1" applyFill="1" applyBorder="1" applyAlignment="1">
      <alignment vertical="center" wrapText="1"/>
    </xf>
    <xf numFmtId="31" fontId="0" fillId="0" borderId="24" xfId="46" applyNumberFormat="1" applyFont="1" applyFill="1" applyBorder="1" applyAlignment="1">
      <alignment horizontal="right"/>
    </xf>
    <xf numFmtId="31" fontId="0" fillId="0" borderId="17" xfId="46" applyNumberFormat="1" applyFont="1" applyFill="1" applyBorder="1" applyAlignment="1">
      <alignment horizontal="right"/>
    </xf>
    <xf numFmtId="0" fontId="0" fillId="0" borderId="34" xfId="46" applyFont="1" applyBorder="1" applyAlignment="1">
      <alignment horizontal="center" vertical="center"/>
    </xf>
    <xf numFmtId="0" fontId="0" fillId="0" borderId="21" xfId="46" applyFont="1" applyBorder="1" applyAlignment="1">
      <alignment horizontal="center" vertical="center"/>
    </xf>
    <xf numFmtId="0" fontId="25" fillId="0" borderId="21" xfId="45" applyFont="1" applyBorder="1" applyAlignment="1">
      <alignment vertical="center" wrapText="1"/>
    </xf>
    <xf numFmtId="0" fontId="25" fillId="0" borderId="25" xfId="45" applyFont="1" applyBorder="1" applyAlignment="1">
      <alignment vertical="center" wrapText="1"/>
    </xf>
    <xf numFmtId="0" fontId="23" fillId="33" borderId="10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left" wrapText="1"/>
    </xf>
    <xf numFmtId="0" fontId="23" fillId="33" borderId="11" xfId="0" applyFont="1" applyFill="1" applyBorder="1" applyAlignment="1">
      <alignment horizontal="left" wrapText="1"/>
    </xf>
    <xf numFmtId="0" fontId="23" fillId="33" borderId="12" xfId="0" applyFont="1" applyFill="1" applyBorder="1" applyAlignment="1">
      <alignment horizontal="left" wrapText="1"/>
    </xf>
    <xf numFmtId="0" fontId="23" fillId="33" borderId="13" xfId="0" applyFont="1" applyFill="1" applyBorder="1" applyAlignment="1">
      <alignment horizontal="left" wrapText="1"/>
    </xf>
    <xf numFmtId="0" fontId="24" fillId="33" borderId="26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3" fillId="0" borderId="10" xfId="0" applyFont="1" applyBorder="1" applyAlignment="1"/>
    <xf numFmtId="0" fontId="23" fillId="0" borderId="22" xfId="0" applyFont="1" applyBorder="1" applyAlignment="1"/>
    <xf numFmtId="0" fontId="23" fillId="0" borderId="10" xfId="45" applyFont="1" applyBorder="1" applyAlignment="1">
      <alignment horizontal="left" vertical="center" wrapText="1"/>
    </xf>
    <xf numFmtId="0" fontId="23" fillId="0" borderId="22" xfId="45" applyFont="1" applyBorder="1" applyAlignment="1">
      <alignment horizontal="left" vertical="center" wrapText="1"/>
    </xf>
    <xf numFmtId="49" fontId="32" fillId="0" borderId="3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26" xfId="0" applyNumberFormat="1" applyFont="1" applyBorder="1" applyAlignment="1">
      <alignment horizontal="center" vertical="center"/>
    </xf>
    <xf numFmtId="38" fontId="0" fillId="0" borderId="40" xfId="1" applyFont="1" applyBorder="1" applyAlignment="1">
      <alignment vertical="center"/>
    </xf>
    <xf numFmtId="38" fontId="0" fillId="0" borderId="38" xfId="1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49" fontId="32" fillId="0" borderId="26" xfId="0" applyNumberFormat="1" applyFont="1" applyBorder="1" applyAlignment="1">
      <alignment horizontal="center" vertical="center" wrapText="1"/>
    </xf>
    <xf numFmtId="49" fontId="32" fillId="0" borderId="15" xfId="0" applyNumberFormat="1" applyFont="1" applyBorder="1" applyAlignment="1">
      <alignment horizontal="center" vertical="center" wrapText="1"/>
    </xf>
    <xf numFmtId="49" fontId="32" fillId="0" borderId="14" xfId="0" applyNumberFormat="1" applyFont="1" applyBorder="1" applyAlignment="1">
      <alignment horizontal="center" vertical="center" wrapText="1"/>
    </xf>
    <xf numFmtId="38" fontId="32" fillId="0" borderId="26" xfId="1" applyFont="1" applyBorder="1" applyAlignment="1">
      <alignment horizontal="center" vertical="center" wrapText="1"/>
    </xf>
    <xf numFmtId="38" fontId="32" fillId="0" borderId="35" xfId="1" applyFont="1" applyBorder="1" applyAlignment="1">
      <alignment horizontal="center" vertical="center" wrapText="1"/>
    </xf>
    <xf numFmtId="38" fontId="32" fillId="0" borderId="34" xfId="1" applyFont="1" applyBorder="1" applyAlignment="1">
      <alignment vertical="center"/>
    </xf>
    <xf numFmtId="38" fontId="32" fillId="0" borderId="35" xfId="1" applyFont="1" applyBorder="1" applyAlignment="1">
      <alignment vertical="center"/>
    </xf>
    <xf numFmtId="0" fontId="0" fillId="0" borderId="34" xfId="46" applyFont="1" applyBorder="1" applyAlignment="1">
      <alignment horizontal="center" vertical="center"/>
    </xf>
    <xf numFmtId="0" fontId="0" fillId="0" borderId="15" xfId="46" applyFont="1" applyBorder="1" applyAlignment="1">
      <alignment horizontal="center" vertical="center"/>
    </xf>
    <xf numFmtId="0" fontId="0" fillId="0" borderId="21" xfId="46" applyFont="1" applyBorder="1" applyAlignment="1">
      <alignment horizontal="center" vertical="center"/>
    </xf>
    <xf numFmtId="0" fontId="0" fillId="0" borderId="34" xfId="46" applyFont="1" applyBorder="1" applyAlignment="1">
      <alignment vertical="center"/>
    </xf>
    <xf numFmtId="0" fontId="0" fillId="0" borderId="42" xfId="46" applyFont="1" applyBorder="1" applyAlignment="1">
      <alignment horizontal="center"/>
    </xf>
    <xf numFmtId="0" fontId="0" fillId="0" borderId="43" xfId="46" applyFont="1" applyBorder="1" applyAlignment="1">
      <alignment horizontal="center"/>
    </xf>
    <xf numFmtId="0" fontId="0" fillId="0" borderId="44" xfId="46" applyFont="1" applyBorder="1" applyAlignment="1">
      <alignment horizontal="center"/>
    </xf>
    <xf numFmtId="0" fontId="0" fillId="0" borderId="60" xfId="46" applyFont="1" applyBorder="1" applyAlignment="1">
      <alignment horizontal="center"/>
    </xf>
    <xf numFmtId="0" fontId="0" fillId="0" borderId="62" xfId="46" applyFont="1" applyBorder="1" applyAlignment="1">
      <alignment horizontal="center"/>
    </xf>
    <xf numFmtId="0" fontId="0" fillId="0" borderId="28" xfId="46" applyFont="1" applyBorder="1"/>
    <xf numFmtId="0" fontId="0" fillId="0" borderId="61" xfId="46" applyFont="1" applyBorder="1"/>
    <xf numFmtId="0" fontId="0" fillId="0" borderId="0" xfId="46" applyFont="1" applyBorder="1"/>
    <xf numFmtId="0" fontId="37" fillId="0" borderId="0" xfId="46" applyFont="1" applyBorder="1" applyAlignment="1">
      <alignment horizontal="left"/>
    </xf>
    <xf numFmtId="0" fontId="0" fillId="0" borderId="0" xfId="46" applyFont="1" applyAlignment="1">
      <alignment horizontal="right" vertical="center"/>
    </xf>
    <xf numFmtId="0" fontId="19" fillId="0" borderId="0" xfId="46" applyAlignment="1">
      <alignment vertical="center"/>
    </xf>
    <xf numFmtId="0" fontId="39" fillId="0" borderId="0" xfId="46" applyFont="1" applyAlignment="1">
      <alignment horizontal="center" vertical="center"/>
    </xf>
    <xf numFmtId="0" fontId="39" fillId="0" borderId="0" xfId="46" applyFont="1" applyAlignment="1">
      <alignment horizontal="center" vertical="center"/>
    </xf>
    <xf numFmtId="0" fontId="19" fillId="0" borderId="21" xfId="46" applyBorder="1" applyAlignment="1">
      <alignment horizontal="left" vertical="center"/>
    </xf>
    <xf numFmtId="0" fontId="0" fillId="0" borderId="63" xfId="46" applyFont="1" applyBorder="1" applyAlignment="1">
      <alignment horizontal="right" vertical="center"/>
    </xf>
    <xf numFmtId="0" fontId="0" fillId="0" borderId="42" xfId="46" applyFont="1" applyBorder="1" applyAlignment="1">
      <alignment horizontal="center" vertical="center"/>
    </xf>
    <xf numFmtId="0" fontId="0" fillId="0" borderId="64" xfId="46" applyFont="1" applyBorder="1" applyAlignment="1">
      <alignment horizontal="center" vertical="center"/>
    </xf>
    <xf numFmtId="0" fontId="0" fillId="0" borderId="18" xfId="46" applyFont="1" applyBorder="1" applyAlignment="1">
      <alignment horizontal="center" vertical="center"/>
    </xf>
    <xf numFmtId="0" fontId="0" fillId="0" borderId="48" xfId="46" applyFont="1" applyBorder="1" applyAlignment="1">
      <alignment horizontal="center" vertical="center"/>
    </xf>
    <xf numFmtId="0" fontId="0" fillId="0" borderId="65" xfId="46" applyFont="1" applyBorder="1" applyAlignment="1">
      <alignment horizontal="center" vertical="center"/>
    </xf>
    <xf numFmtId="179" fontId="0" fillId="0" borderId="15" xfId="46" applyNumberFormat="1" applyFont="1" applyBorder="1" applyAlignment="1">
      <alignment vertical="center"/>
    </xf>
    <xf numFmtId="0" fontId="0" fillId="0" borderId="15" xfId="46" applyFont="1" applyBorder="1" applyAlignment="1">
      <alignment vertical="center"/>
    </xf>
    <xf numFmtId="0" fontId="0" fillId="0" borderId="49" xfId="46" applyFont="1" applyBorder="1" applyAlignment="1">
      <alignment vertical="center"/>
    </xf>
    <xf numFmtId="0" fontId="0" fillId="0" borderId="66" xfId="46" applyFont="1" applyBorder="1" applyAlignment="1">
      <alignment horizontal="center" vertical="center"/>
    </xf>
    <xf numFmtId="0" fontId="0" fillId="0" borderId="17" xfId="46" applyFont="1" applyBorder="1" applyAlignment="1">
      <alignment horizontal="distributed" vertical="center"/>
    </xf>
    <xf numFmtId="179" fontId="0" fillId="0" borderId="17" xfId="46" applyNumberFormat="1" applyFont="1" applyBorder="1" applyAlignment="1">
      <alignment vertical="center"/>
    </xf>
    <xf numFmtId="0" fontId="0" fillId="0" borderId="50" xfId="46" applyFont="1" applyBorder="1" applyAlignment="1">
      <alignment vertical="center"/>
    </xf>
    <xf numFmtId="0" fontId="0" fillId="0" borderId="67" xfId="46" applyFont="1" applyBorder="1" applyAlignment="1">
      <alignment horizontal="center" vertical="center"/>
    </xf>
    <xf numFmtId="179" fontId="0" fillId="0" borderId="18" xfId="46" applyNumberFormat="1" applyFont="1" applyBorder="1" applyAlignment="1">
      <alignment vertical="center"/>
    </xf>
    <xf numFmtId="0" fontId="0" fillId="0" borderId="48" xfId="46" applyFont="1" applyBorder="1" applyAlignment="1">
      <alignment vertical="center"/>
    </xf>
    <xf numFmtId="0" fontId="19" fillId="0" borderId="66" xfId="46" applyBorder="1" applyAlignment="1">
      <alignment horizontal="center" vertical="center"/>
    </xf>
    <xf numFmtId="179" fontId="0" fillId="0" borderId="68" xfId="46" applyNumberFormat="1" applyFont="1" applyBorder="1" applyAlignment="1">
      <alignment vertical="center"/>
    </xf>
    <xf numFmtId="0" fontId="0" fillId="0" borderId="69" xfId="46" applyFont="1" applyBorder="1" applyAlignment="1">
      <alignment horizontal="center" vertical="center"/>
    </xf>
    <xf numFmtId="0" fontId="0" fillId="0" borderId="70" xfId="46" applyFont="1" applyBorder="1" applyAlignment="1">
      <alignment horizontal="center" vertical="center"/>
    </xf>
    <xf numFmtId="179" fontId="0" fillId="0" borderId="71" xfId="46" applyNumberFormat="1" applyFont="1" applyBorder="1" applyAlignment="1">
      <alignment vertical="center"/>
    </xf>
    <xf numFmtId="179" fontId="0" fillId="0" borderId="52" xfId="46" applyNumberFormat="1" applyFont="1" applyBorder="1" applyAlignment="1">
      <alignment vertical="center"/>
    </xf>
    <xf numFmtId="0" fontId="0" fillId="0" borderId="53" xfId="46" applyFont="1" applyBorder="1" applyAlignment="1">
      <alignment vertical="center"/>
    </xf>
    <xf numFmtId="0" fontId="0" fillId="0" borderId="0" xfId="46" applyFont="1" applyAlignment="1">
      <alignment horizontal="center" vertical="center"/>
    </xf>
    <xf numFmtId="0" fontId="40" fillId="0" borderId="0" xfId="46" applyFont="1" applyAlignment="1">
      <alignment vertical="center"/>
    </xf>
    <xf numFmtId="0" fontId="0" fillId="0" borderId="0" xfId="46" applyFont="1" applyAlignment="1">
      <alignment vertical="center"/>
    </xf>
    <xf numFmtId="0" fontId="0" fillId="0" borderId="0" xfId="46" applyFont="1" applyAlignment="1">
      <alignment vertical="center"/>
    </xf>
    <xf numFmtId="0" fontId="0" fillId="0" borderId="0" xfId="46" applyFont="1" applyAlignment="1">
      <alignment horizontal="right" vertical="center"/>
    </xf>
    <xf numFmtId="0" fontId="0" fillId="0" borderId="0" xfId="46" applyFont="1" applyAlignment="1">
      <alignment horizontal="center" vertical="center"/>
    </xf>
    <xf numFmtId="0" fontId="0" fillId="0" borderId="21" xfId="46" applyFont="1" applyBorder="1" applyAlignment="1">
      <alignment horizontal="right" vertical="center"/>
    </xf>
    <xf numFmtId="0" fontId="0" fillId="0" borderId="72" xfId="46" applyFont="1" applyBorder="1" applyAlignment="1">
      <alignment horizontal="center" vertical="center"/>
    </xf>
    <xf numFmtId="0" fontId="0" fillId="0" borderId="24" xfId="46" applyFont="1" applyBorder="1" applyAlignment="1">
      <alignment horizontal="center" vertical="center"/>
    </xf>
    <xf numFmtId="0" fontId="0" fillId="0" borderId="17" xfId="46" applyFont="1" applyBorder="1" applyAlignment="1">
      <alignment horizontal="center" vertical="center"/>
    </xf>
    <xf numFmtId="0" fontId="0" fillId="0" borderId="20" xfId="46" applyFont="1" applyBorder="1" applyAlignment="1">
      <alignment horizontal="right" vertical="center"/>
    </xf>
    <xf numFmtId="0" fontId="0" fillId="0" borderId="21" xfId="46" applyFont="1" applyBorder="1" applyAlignment="1">
      <alignment vertical="center"/>
    </xf>
    <xf numFmtId="0" fontId="0" fillId="0" borderId="17" xfId="46" applyFont="1" applyBorder="1" applyAlignment="1">
      <alignment vertical="center"/>
    </xf>
    <xf numFmtId="0" fontId="0" fillId="0" borderId="67" xfId="46" applyFont="1" applyBorder="1" applyAlignment="1">
      <alignment vertical="center"/>
    </xf>
    <xf numFmtId="0" fontId="0" fillId="0" borderId="18" xfId="46" applyFont="1" applyBorder="1" applyAlignment="1">
      <alignment vertical="center"/>
    </xf>
    <xf numFmtId="0" fontId="0" fillId="0" borderId="12" xfId="46" applyFont="1" applyBorder="1" applyAlignment="1">
      <alignment vertical="center"/>
    </xf>
    <xf numFmtId="0" fontId="0" fillId="0" borderId="20" xfId="46" applyFont="1" applyBorder="1" applyAlignment="1">
      <alignment vertical="center"/>
    </xf>
    <xf numFmtId="0" fontId="0" fillId="0" borderId="24" xfId="46" applyFont="1" applyBorder="1" applyAlignment="1">
      <alignment vertical="center"/>
    </xf>
    <xf numFmtId="179" fontId="0" fillId="0" borderId="24" xfId="46" applyNumberFormat="1" applyFont="1" applyBorder="1" applyAlignment="1">
      <alignment vertical="center"/>
    </xf>
    <xf numFmtId="0" fontId="0" fillId="0" borderId="23" xfId="46" applyFont="1" applyFill="1" applyBorder="1" applyAlignment="1">
      <alignment vertical="center"/>
    </xf>
    <xf numFmtId="0" fontId="19" fillId="0" borderId="17" xfId="46" applyFont="1" applyFill="1" applyBorder="1" applyAlignment="1">
      <alignment vertical="center" wrapText="1"/>
    </xf>
    <xf numFmtId="0" fontId="20" fillId="0" borderId="17" xfId="43" applyBorder="1" applyAlignment="1">
      <alignment horizontal="center" vertical="center"/>
    </xf>
    <xf numFmtId="0" fontId="32" fillId="0" borderId="0" xfId="46" applyFont="1" applyAlignment="1">
      <alignment horizontal="center" vertical="center"/>
    </xf>
    <xf numFmtId="0" fontId="19" fillId="0" borderId="21" xfId="46" applyBorder="1" applyAlignment="1">
      <alignment vertical="center"/>
    </xf>
    <xf numFmtId="0" fontId="28" fillId="0" borderId="73" xfId="46" applyFont="1" applyBorder="1" applyAlignment="1">
      <alignment horizontal="center" vertical="center"/>
    </xf>
    <xf numFmtId="0" fontId="19" fillId="0" borderId="24" xfId="46" applyBorder="1" applyAlignment="1">
      <alignment horizontal="center" vertical="center" wrapText="1" shrinkToFit="1"/>
    </xf>
    <xf numFmtId="0" fontId="19" fillId="0" borderId="24" xfId="46" applyBorder="1" applyAlignment="1">
      <alignment horizontal="center" vertical="center" shrinkToFit="1"/>
    </xf>
    <xf numFmtId="0" fontId="0" fillId="0" borderId="20" xfId="46" applyFont="1" applyBorder="1" applyAlignment="1">
      <alignment horizontal="distributed" vertical="center"/>
    </xf>
    <xf numFmtId="179" fontId="0" fillId="0" borderId="74" xfId="47" applyNumberFormat="1" applyFont="1" applyBorder="1" applyAlignment="1">
      <alignment vertical="center"/>
    </xf>
    <xf numFmtId="179" fontId="0" fillId="0" borderId="17" xfId="47" applyNumberFormat="1" applyFont="1" applyBorder="1" applyAlignment="1">
      <alignment vertical="center"/>
    </xf>
    <xf numFmtId="179" fontId="0" fillId="0" borderId="75" xfId="47" applyNumberFormat="1" applyFont="1" applyBorder="1" applyAlignment="1">
      <alignment vertical="center"/>
    </xf>
    <xf numFmtId="0" fontId="0" fillId="0" borderId="76" xfId="46" applyFont="1" applyBorder="1" applyAlignment="1">
      <alignment horizontal="distributed" vertical="center"/>
    </xf>
    <xf numFmtId="179" fontId="0" fillId="0" borderId="77" xfId="47" applyNumberFormat="1" applyFont="1" applyBorder="1" applyAlignment="1">
      <alignment vertical="center"/>
    </xf>
    <xf numFmtId="179" fontId="0" fillId="0" borderId="78" xfId="47" applyNumberFormat="1" applyFont="1" applyBorder="1" applyAlignment="1">
      <alignment vertical="center"/>
    </xf>
    <xf numFmtId="179" fontId="0" fillId="0" borderId="79" xfId="47" applyNumberFormat="1" applyFont="1" applyBorder="1" applyAlignment="1">
      <alignment vertical="center"/>
    </xf>
    <xf numFmtId="0" fontId="19" fillId="0" borderId="73" xfId="46" applyBorder="1" applyAlignment="1">
      <alignment horizontal="center" vertical="center" shrinkToFit="1"/>
    </xf>
    <xf numFmtId="0" fontId="19" fillId="0" borderId="23" xfId="46" applyBorder="1" applyAlignment="1">
      <alignment horizontal="center" vertical="center" shrinkToFit="1"/>
    </xf>
    <xf numFmtId="0" fontId="0" fillId="0" borderId="34" xfId="46" applyFont="1" applyBorder="1" applyAlignment="1">
      <alignment horizontal="distributed" vertical="center"/>
    </xf>
    <xf numFmtId="179" fontId="0" fillId="0" borderId="80" xfId="47" applyNumberFormat="1" applyFont="1" applyBorder="1" applyAlignment="1">
      <alignment vertical="center"/>
    </xf>
    <xf numFmtId="179" fontId="0" fillId="0" borderId="24" xfId="47" applyNumberFormat="1" applyFont="1" applyBorder="1" applyAlignment="1">
      <alignment vertical="center"/>
    </xf>
    <xf numFmtId="179" fontId="0" fillId="0" borderId="23" xfId="47" applyNumberFormat="1" applyFont="1" applyBorder="1" applyAlignment="1">
      <alignment vertical="center"/>
    </xf>
    <xf numFmtId="179" fontId="0" fillId="0" borderId="81" xfId="47" applyNumberFormat="1" applyFont="1" applyBorder="1" applyAlignment="1">
      <alignment vertical="center"/>
    </xf>
    <xf numFmtId="179" fontId="0" fillId="0" borderId="19" xfId="47" applyNumberFormat="1" applyFont="1" applyBorder="1" applyAlignment="1">
      <alignment vertical="center"/>
    </xf>
    <xf numFmtId="0" fontId="0" fillId="0" borderId="0" xfId="46" applyFont="1" applyAlignment="1">
      <alignment horizontal="distributed" vertical="center"/>
    </xf>
    <xf numFmtId="179" fontId="0" fillId="0" borderId="0" xfId="47" applyNumberFormat="1" applyFont="1" applyBorder="1" applyAlignment="1">
      <alignment vertical="center"/>
    </xf>
    <xf numFmtId="0" fontId="19" fillId="0" borderId="0" xfId="46" applyAlignment="1">
      <alignment horizontal="right" vertical="center" shrinkToFit="1"/>
    </xf>
    <xf numFmtId="179" fontId="19" fillId="0" borderId="82" xfId="46" applyNumberFormat="1" applyBorder="1" applyAlignment="1">
      <alignment vertical="center"/>
    </xf>
    <xf numFmtId="179" fontId="0" fillId="0" borderId="80" xfId="46" applyNumberFormat="1" applyFont="1" applyBorder="1" applyAlignment="1">
      <alignment vertical="center"/>
    </xf>
    <xf numFmtId="179" fontId="0" fillId="0" borderId="74" xfId="46" applyNumberFormat="1" applyFont="1" applyBorder="1" applyAlignment="1">
      <alignment vertical="center"/>
    </xf>
  </cellXfs>
  <cellStyles count="48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ハイパーリンク" xfId="43" builtinId="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 customBuiltin="1"/>
    <cellStyle name="桁区切り 2 2" xfId="47" xr:uid="{5521B336-29B6-4722-8DAB-E4AA7D1063F6}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5" xr:uid="{00000000-0005-0000-0000-00002B000000}"/>
    <cellStyle name="標準_様式ファイル(上程委員会向）" xfId="46" xr:uid="{00000000-0005-0000-0000-00002C000000}"/>
    <cellStyle name="表示済みのハイパーリンク" xfId="44" builtinId="9" customBuiltin="1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2</xdr:row>
      <xdr:rowOff>381000</xdr:rowOff>
    </xdr:from>
    <xdr:to>
      <xdr:col>19</xdr:col>
      <xdr:colOff>406400</xdr:colOff>
      <xdr:row>10</xdr:row>
      <xdr:rowOff>88900</xdr:rowOff>
    </xdr:to>
    <xdr:pic>
      <xdr:nvPicPr>
        <xdr:cNvPr id="1237" name="角丸四角形 2">
          <a:extLst>
            <a:ext uri="{FF2B5EF4-FFF2-40B4-BE49-F238E27FC236}">
              <a16:creationId xmlns:a16="http://schemas.microsoft.com/office/drawing/2014/main" id="{1F36415D-AB10-48EC-BF43-D3397DC8AB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04050" y="869950"/>
          <a:ext cx="3371850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itsumori\gurandehagakure_heyadai2.pdf" TargetMode="External"/><Relationship Id="rId2" Type="http://schemas.openxmlformats.org/officeDocument/2006/relationships/hyperlink" Target="mitsumori\teensmyujikaru_mitumori2.pdf" TargetMode="External"/><Relationship Id="rId1" Type="http://schemas.openxmlformats.org/officeDocument/2006/relationships/hyperlink" Target="mitsumori\kitte_ryousyuusyo2.pdf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itsumori\teensmyujikaru_mitumori2.pdf" TargetMode="External"/><Relationship Id="rId4" Type="http://schemas.openxmlformats.org/officeDocument/2006/relationships/hyperlink" Target="mitsumori\gurandehagakure_heyadai2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itsumori\gurandehagakure_heyadai2.pdf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itsumori\gurandehagakure_heyadai2.pdf" TargetMode="External"/><Relationship Id="rId1" Type="http://schemas.openxmlformats.org/officeDocument/2006/relationships/hyperlink" Target="mitsumori\gurandehagakure_heyadai2.pdf" TargetMode="External"/><Relationship Id="rId6" Type="http://schemas.openxmlformats.org/officeDocument/2006/relationships/hyperlink" Target="mitsumori\kitte_ryousyuusyo2.pdf" TargetMode="External"/><Relationship Id="rId5" Type="http://schemas.openxmlformats.org/officeDocument/2006/relationships/hyperlink" Target="mitsumori\teensmyujikaru_mitumori2.pdf" TargetMode="External"/><Relationship Id="rId4" Type="http://schemas.openxmlformats.org/officeDocument/2006/relationships/hyperlink" Target="mitsumori\gurandehagakure_heyadai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showGridLines="0" topLeftCell="A7" workbookViewId="0">
      <selection activeCell="S17" sqref="S17"/>
    </sheetView>
  </sheetViews>
  <sheetFormatPr defaultRowHeight="13.2" x14ac:dyDescent="0.2"/>
  <cols>
    <col min="1" max="1" width="5.6640625" customWidth="1"/>
    <col min="2" max="2" width="23.33203125" customWidth="1"/>
    <col min="3" max="12" width="3.109375" customWidth="1"/>
    <col min="13" max="13" width="39.44140625" customWidth="1"/>
    <col min="14" max="14" width="9.44140625"/>
    <col min="15" max="15" width="3.44140625" customWidth="1"/>
    <col min="16" max="17" width="9.44140625"/>
    <col min="18" max="18" width="2.109375" customWidth="1"/>
  </cols>
  <sheetData>
    <row r="1" spans="1:26" ht="33.75" customHeight="1" x14ac:dyDescent="0.2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customHeight="1" x14ac:dyDescent="0.2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3</v>
      </c>
      <c r="N3" s="8"/>
      <c r="O3" s="9"/>
      <c r="P3" s="2"/>
      <c r="Q3" s="3"/>
      <c r="R3" s="8" t="s">
        <v>4</v>
      </c>
      <c r="S3" s="2"/>
      <c r="T3" s="2"/>
      <c r="U3" s="2"/>
      <c r="V3" s="2"/>
      <c r="W3" s="2"/>
      <c r="X3" s="2"/>
      <c r="Y3" s="2"/>
      <c r="Z3" s="2"/>
    </row>
    <row r="4" spans="1:26" ht="15" customHeight="1" x14ac:dyDescent="0.2">
      <c r="A4" s="155" t="s">
        <v>5</v>
      </c>
      <c r="B4" s="156"/>
      <c r="C4" s="159" t="s">
        <v>6</v>
      </c>
      <c r="D4" s="160"/>
      <c r="E4" s="159" t="s">
        <v>7</v>
      </c>
      <c r="F4" s="160"/>
      <c r="G4" s="159" t="s">
        <v>8</v>
      </c>
      <c r="H4" s="160"/>
      <c r="I4" s="159" t="s">
        <v>9</v>
      </c>
      <c r="J4" s="160"/>
      <c r="K4" s="159" t="s">
        <v>10</v>
      </c>
      <c r="L4" s="160"/>
      <c r="M4" s="11"/>
      <c r="N4" s="8"/>
      <c r="O4" s="9"/>
      <c r="P4" s="2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2">
      <c r="A5" s="157"/>
      <c r="B5" s="158"/>
      <c r="C5" s="12" t="s">
        <v>11</v>
      </c>
      <c r="D5" s="12" t="s">
        <v>12</v>
      </c>
      <c r="E5" s="12" t="s">
        <v>11</v>
      </c>
      <c r="F5" s="12" t="s">
        <v>12</v>
      </c>
      <c r="G5" s="12" t="s">
        <v>11</v>
      </c>
      <c r="H5" s="12" t="s">
        <v>12</v>
      </c>
      <c r="I5" s="12" t="s">
        <v>11</v>
      </c>
      <c r="J5" s="12" t="s">
        <v>12</v>
      </c>
      <c r="K5" s="12" t="s">
        <v>11</v>
      </c>
      <c r="L5" s="12" t="s">
        <v>12</v>
      </c>
      <c r="M5" s="13" t="s">
        <v>13</v>
      </c>
      <c r="N5" s="8"/>
      <c r="O5" s="9"/>
      <c r="P5" s="2"/>
      <c r="Q5" s="3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">
      <c r="A6" s="14"/>
      <c r="B6" s="15" t="s">
        <v>14</v>
      </c>
      <c r="C6" s="16" t="s">
        <v>15</v>
      </c>
      <c r="D6" s="12" t="s">
        <v>16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2" t="s">
        <v>15</v>
      </c>
      <c r="K6" s="12" t="s">
        <v>15</v>
      </c>
      <c r="L6" s="12" t="s">
        <v>15</v>
      </c>
      <c r="M6" s="17" t="s">
        <v>17</v>
      </c>
      <c r="N6" s="18"/>
      <c r="O6" s="1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">
      <c r="A7" s="14"/>
      <c r="B7" s="19" t="s">
        <v>18</v>
      </c>
      <c r="C7" s="16" t="s">
        <v>15</v>
      </c>
      <c r="D7" s="12" t="s">
        <v>16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  <c r="M7" s="17" t="s">
        <v>19</v>
      </c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">
      <c r="A8" s="20" t="s">
        <v>20</v>
      </c>
      <c r="B8" s="19" t="s">
        <v>21</v>
      </c>
      <c r="C8" s="16" t="s">
        <v>15</v>
      </c>
      <c r="D8" s="12" t="s">
        <v>16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16</v>
      </c>
      <c r="L8" s="12" t="s">
        <v>16</v>
      </c>
      <c r="M8" s="21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">
      <c r="A9" s="20" t="s">
        <v>22</v>
      </c>
      <c r="B9" s="19" t="s">
        <v>23</v>
      </c>
      <c r="C9" s="16" t="s">
        <v>15</v>
      </c>
      <c r="D9" s="12" t="s">
        <v>16</v>
      </c>
      <c r="E9" s="12" t="s">
        <v>15</v>
      </c>
      <c r="F9" s="12" t="s">
        <v>15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16</v>
      </c>
      <c r="L9" s="12" t="s">
        <v>16</v>
      </c>
      <c r="M9" s="21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0" t="s">
        <v>25</v>
      </c>
      <c r="B10" s="19" t="s">
        <v>26</v>
      </c>
      <c r="C10" s="16" t="s">
        <v>15</v>
      </c>
      <c r="D10" s="12" t="s">
        <v>16</v>
      </c>
      <c r="E10" s="12" t="s">
        <v>15</v>
      </c>
      <c r="F10" s="12" t="s">
        <v>15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0" t="s">
        <v>27</v>
      </c>
      <c r="B11" s="19" t="s">
        <v>28</v>
      </c>
      <c r="C11" s="16" t="s">
        <v>15</v>
      </c>
      <c r="D11" s="12" t="s">
        <v>16</v>
      </c>
      <c r="E11" s="12" t="s">
        <v>15</v>
      </c>
      <c r="F11" s="12" t="s">
        <v>15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12" t="s">
        <v>16</v>
      </c>
      <c r="M11" s="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2">
      <c r="A12" s="20" t="s">
        <v>29</v>
      </c>
      <c r="B12" s="19" t="s">
        <v>30</v>
      </c>
      <c r="C12" s="16" t="s">
        <v>15</v>
      </c>
      <c r="D12" s="12" t="s">
        <v>16</v>
      </c>
      <c r="E12" s="12" t="s">
        <v>15</v>
      </c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21" t="s">
        <v>31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2">
      <c r="A13" s="20" t="s">
        <v>32</v>
      </c>
      <c r="B13" s="19" t="s">
        <v>33</v>
      </c>
      <c r="C13" s="16" t="s">
        <v>34</v>
      </c>
      <c r="D13" s="12" t="s">
        <v>16</v>
      </c>
      <c r="E13" s="12" t="s">
        <v>34</v>
      </c>
      <c r="F13" s="12" t="s">
        <v>35</v>
      </c>
      <c r="G13" s="12" t="s">
        <v>34</v>
      </c>
      <c r="H13" s="12" t="s">
        <v>35</v>
      </c>
      <c r="I13" s="12" t="s">
        <v>16</v>
      </c>
      <c r="J13" s="12" t="s">
        <v>16</v>
      </c>
      <c r="K13" s="12" t="s">
        <v>34</v>
      </c>
      <c r="L13" s="12" t="s">
        <v>34</v>
      </c>
      <c r="M13" s="13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2">
      <c r="A14" s="20" t="s">
        <v>37</v>
      </c>
      <c r="B14" s="19" t="s">
        <v>38</v>
      </c>
      <c r="C14" s="16" t="s">
        <v>34</v>
      </c>
      <c r="D14" s="12" t="s">
        <v>16</v>
      </c>
      <c r="E14" s="12" t="s">
        <v>34</v>
      </c>
      <c r="F14" s="12" t="s">
        <v>34</v>
      </c>
      <c r="G14" s="12" t="s">
        <v>34</v>
      </c>
      <c r="H14" s="12" t="s">
        <v>34</v>
      </c>
      <c r="I14" s="12" t="s">
        <v>34</v>
      </c>
      <c r="J14" s="12" t="s">
        <v>34</v>
      </c>
      <c r="K14" s="12" t="s">
        <v>16</v>
      </c>
      <c r="L14" s="12" t="s">
        <v>16</v>
      </c>
      <c r="M14" s="21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20" t="s">
        <v>40</v>
      </c>
      <c r="B15" s="19" t="s">
        <v>41</v>
      </c>
      <c r="C15" s="16" t="s">
        <v>34</v>
      </c>
      <c r="D15" s="12" t="s">
        <v>16</v>
      </c>
      <c r="E15" s="12" t="s">
        <v>34</v>
      </c>
      <c r="F15" s="12" t="s">
        <v>34</v>
      </c>
      <c r="G15" s="12" t="s">
        <v>34</v>
      </c>
      <c r="H15" s="12" t="s">
        <v>34</v>
      </c>
      <c r="I15" s="12" t="s">
        <v>34</v>
      </c>
      <c r="J15" s="12" t="s">
        <v>34</v>
      </c>
      <c r="K15" s="12" t="s">
        <v>16</v>
      </c>
      <c r="L15" s="12" t="s">
        <v>16</v>
      </c>
      <c r="M15" s="21" t="s">
        <v>42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20" t="s">
        <v>43</v>
      </c>
      <c r="B16" s="19" t="s">
        <v>44</v>
      </c>
      <c r="C16" s="16" t="s">
        <v>34</v>
      </c>
      <c r="D16" s="12" t="s">
        <v>16</v>
      </c>
      <c r="E16" s="12" t="s">
        <v>34</v>
      </c>
      <c r="F16" s="12" t="s">
        <v>34</v>
      </c>
      <c r="G16" s="12" t="s">
        <v>34</v>
      </c>
      <c r="H16" s="12" t="s">
        <v>34</v>
      </c>
      <c r="I16" s="12" t="s">
        <v>34</v>
      </c>
      <c r="J16" s="12" t="s">
        <v>34</v>
      </c>
      <c r="K16" s="12" t="s">
        <v>16</v>
      </c>
      <c r="L16" s="12" t="s">
        <v>16</v>
      </c>
      <c r="M16" s="21" t="s">
        <v>45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20" t="s">
        <v>46</v>
      </c>
      <c r="B17" s="19" t="s">
        <v>47</v>
      </c>
      <c r="C17" s="16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15</v>
      </c>
      <c r="L17" s="12" t="s">
        <v>15</v>
      </c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0" t="s">
        <v>48</v>
      </c>
      <c r="B18" s="19" t="s">
        <v>49</v>
      </c>
      <c r="C18" s="16" t="s">
        <v>16</v>
      </c>
      <c r="D18" s="12" t="s">
        <v>16</v>
      </c>
      <c r="E18" s="12" t="s">
        <v>16</v>
      </c>
      <c r="F18" s="12" t="s">
        <v>16</v>
      </c>
      <c r="G18" s="12" t="s">
        <v>16</v>
      </c>
      <c r="H18" s="12" t="s">
        <v>16</v>
      </c>
      <c r="I18" s="12" t="s">
        <v>16</v>
      </c>
      <c r="J18" s="12" t="s">
        <v>16</v>
      </c>
      <c r="K18" s="12" t="s">
        <v>15</v>
      </c>
      <c r="L18" s="12" t="s">
        <v>15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0" t="s">
        <v>50</v>
      </c>
      <c r="B19" s="19" t="s">
        <v>51</v>
      </c>
      <c r="C19" s="16" t="s">
        <v>16</v>
      </c>
      <c r="D19" s="12" t="s">
        <v>16</v>
      </c>
      <c r="E19" s="12" t="s">
        <v>16</v>
      </c>
      <c r="F19" s="12" t="s">
        <v>16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34</v>
      </c>
      <c r="L19" s="12" t="s">
        <v>34</v>
      </c>
      <c r="M19" s="21" t="s">
        <v>52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0" t="s">
        <v>53</v>
      </c>
      <c r="B20" s="19" t="s">
        <v>54</v>
      </c>
      <c r="C20" s="16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15</v>
      </c>
      <c r="L20" s="12" t="s">
        <v>15</v>
      </c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0" t="s">
        <v>55</v>
      </c>
      <c r="B21" s="19" t="s">
        <v>56</v>
      </c>
      <c r="C21" s="16" t="s">
        <v>16</v>
      </c>
      <c r="D21" s="12" t="s">
        <v>16</v>
      </c>
      <c r="E21" s="12" t="s">
        <v>16</v>
      </c>
      <c r="F21" s="12" t="s">
        <v>16</v>
      </c>
      <c r="G21" s="12" t="s">
        <v>15</v>
      </c>
      <c r="H21" s="12" t="s">
        <v>15</v>
      </c>
      <c r="I21" s="12" t="s">
        <v>15</v>
      </c>
      <c r="J21" s="12" t="s">
        <v>15</v>
      </c>
      <c r="K21" s="12" t="s">
        <v>16</v>
      </c>
      <c r="L21" s="12" t="s">
        <v>16</v>
      </c>
      <c r="M21" s="21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2" t="s">
        <v>58</v>
      </c>
      <c r="B22" s="23" t="s">
        <v>59</v>
      </c>
      <c r="C22" s="16" t="s">
        <v>16</v>
      </c>
      <c r="D22" s="12" t="s">
        <v>16</v>
      </c>
      <c r="E22" s="12" t="s">
        <v>16</v>
      </c>
      <c r="F22" s="12" t="s">
        <v>16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16</v>
      </c>
      <c r="L22" s="12" t="s">
        <v>16</v>
      </c>
      <c r="M22" s="24" t="s">
        <v>57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.05" customHeight="1" x14ac:dyDescent="0.2">
      <c r="A24" s="152" t="s">
        <v>60</v>
      </c>
      <c r="B24" s="153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0" t="s">
        <v>61</v>
      </c>
      <c r="B25" s="19" t="s">
        <v>62</v>
      </c>
      <c r="C25" s="27" t="s">
        <v>34</v>
      </c>
      <c r="D25" s="28" t="s">
        <v>16</v>
      </c>
      <c r="E25" s="28" t="s">
        <v>34</v>
      </c>
      <c r="F25" s="28" t="s">
        <v>34</v>
      </c>
      <c r="G25" s="28" t="s">
        <v>34</v>
      </c>
      <c r="H25" s="28" t="s">
        <v>34</v>
      </c>
      <c r="I25" s="28" t="s">
        <v>34</v>
      </c>
      <c r="J25" s="28" t="s">
        <v>34</v>
      </c>
      <c r="K25" s="28" t="s">
        <v>16</v>
      </c>
      <c r="L25" s="28" t="s">
        <v>16</v>
      </c>
      <c r="M25" s="21" t="s">
        <v>63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2" x14ac:dyDescent="0.2">
      <c r="A26" s="20" t="s">
        <v>64</v>
      </c>
      <c r="B26" s="19" t="s">
        <v>65</v>
      </c>
      <c r="C26" s="16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  <c r="H26" s="12" t="s">
        <v>16</v>
      </c>
      <c r="I26" s="12" t="s">
        <v>16</v>
      </c>
      <c r="J26" s="12" t="s">
        <v>16</v>
      </c>
      <c r="K26" s="12" t="s">
        <v>34</v>
      </c>
      <c r="L26" s="12" t="s">
        <v>34</v>
      </c>
      <c r="M26" s="21" t="s">
        <v>66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2" x14ac:dyDescent="0.2">
      <c r="A27" s="22" t="s">
        <v>67</v>
      </c>
      <c r="B27" s="29" t="s">
        <v>68</v>
      </c>
      <c r="C27" s="16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  <c r="H27" s="12" t="s">
        <v>16</v>
      </c>
      <c r="I27" s="12" t="s">
        <v>16</v>
      </c>
      <c r="J27" s="12" t="s">
        <v>16</v>
      </c>
      <c r="K27" s="12" t="s">
        <v>16</v>
      </c>
      <c r="L27" s="12" t="s">
        <v>16</v>
      </c>
      <c r="M27" s="24" t="s">
        <v>69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0"/>
      <c r="B28" s="3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x14ac:dyDescent="0.2">
      <c r="A29" s="152" t="s">
        <v>70</v>
      </c>
      <c r="B29" s="153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0" t="s">
        <v>71</v>
      </c>
      <c r="B30" s="19" t="s">
        <v>72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1" t="s">
        <v>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0" t="s">
        <v>74</v>
      </c>
      <c r="B31" s="19" t="s">
        <v>75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3" t="s">
        <v>76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0" t="s">
        <v>77</v>
      </c>
      <c r="B32" s="19" t="s">
        <v>78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1" t="s">
        <v>79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2" t="s">
        <v>80</v>
      </c>
      <c r="B33" s="23" t="s">
        <v>81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3"/>
      <c r="X33" s="3"/>
      <c r="Y33" s="3"/>
      <c r="Z33" s="3"/>
    </row>
    <row r="34" spans="1:26" x14ac:dyDescent="0.2">
      <c r="A34" s="30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6"/>
      <c r="N34" s="10"/>
      <c r="O34" s="10"/>
      <c r="P34" s="10"/>
      <c r="Q34" s="10"/>
      <c r="R34" s="10"/>
      <c r="S34" s="10"/>
      <c r="T34" s="10"/>
      <c r="U34" s="10"/>
      <c r="V34" s="10"/>
      <c r="W34" s="3"/>
      <c r="X34" s="3"/>
      <c r="Y34" s="3"/>
      <c r="Z34" s="3"/>
    </row>
    <row r="35" spans="1:26" x14ac:dyDescent="0.2">
      <c r="A35" s="152" t="s">
        <v>82</v>
      </c>
      <c r="B35" s="153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0" t="s">
        <v>83</v>
      </c>
      <c r="B36" s="19" t="s">
        <v>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1" t="s">
        <v>85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2" t="s">
        <v>86</v>
      </c>
      <c r="B37" s="23" t="s">
        <v>87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 t="s">
        <v>88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3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163" t="s">
        <v>89</v>
      </c>
      <c r="B39" s="164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1.6" x14ac:dyDescent="0.2">
      <c r="A40" s="42" t="s">
        <v>90</v>
      </c>
      <c r="B40" s="43" t="s">
        <v>91</v>
      </c>
      <c r="C40" s="44" t="s">
        <v>15</v>
      </c>
      <c r="D40" s="45" t="s">
        <v>16</v>
      </c>
      <c r="E40" s="45" t="s">
        <v>15</v>
      </c>
      <c r="F40" s="45" t="s">
        <v>15</v>
      </c>
      <c r="G40" s="45" t="s">
        <v>15</v>
      </c>
      <c r="H40" s="45" t="s">
        <v>15</v>
      </c>
      <c r="I40" s="45" t="s">
        <v>15</v>
      </c>
      <c r="J40" s="45" t="s">
        <v>15</v>
      </c>
      <c r="K40" s="45" t="s">
        <v>15</v>
      </c>
      <c r="L40" s="45" t="s">
        <v>15</v>
      </c>
      <c r="M40" s="46" t="s">
        <v>92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2">
      <c r="A41" s="42" t="s">
        <v>93</v>
      </c>
      <c r="B41" s="43" t="s">
        <v>94</v>
      </c>
      <c r="C41" s="47" t="s">
        <v>16</v>
      </c>
      <c r="D41" s="48" t="s">
        <v>16</v>
      </c>
      <c r="E41" s="48" t="s">
        <v>16</v>
      </c>
      <c r="F41" s="48" t="s">
        <v>16</v>
      </c>
      <c r="G41" s="48" t="s">
        <v>16</v>
      </c>
      <c r="H41" s="48" t="s">
        <v>16</v>
      </c>
      <c r="I41" s="48" t="s">
        <v>16</v>
      </c>
      <c r="J41" s="48" t="s">
        <v>16</v>
      </c>
      <c r="K41" s="48" t="s">
        <v>15</v>
      </c>
      <c r="L41" s="48" t="s">
        <v>15</v>
      </c>
      <c r="M41" s="46" t="s">
        <v>95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2">
      <c r="A42" s="42" t="s">
        <v>96</v>
      </c>
      <c r="B42" s="43" t="s">
        <v>97</v>
      </c>
      <c r="C42" s="47" t="s">
        <v>16</v>
      </c>
      <c r="D42" s="48" t="s">
        <v>16</v>
      </c>
      <c r="E42" s="48" t="s">
        <v>16</v>
      </c>
      <c r="F42" s="48" t="s">
        <v>16</v>
      </c>
      <c r="G42" s="48" t="s">
        <v>16</v>
      </c>
      <c r="H42" s="48" t="s">
        <v>16</v>
      </c>
      <c r="I42" s="48" t="s">
        <v>16</v>
      </c>
      <c r="J42" s="48" t="s">
        <v>16</v>
      </c>
      <c r="K42" s="48" t="s">
        <v>15</v>
      </c>
      <c r="L42" s="48" t="s">
        <v>15</v>
      </c>
      <c r="M42" s="46" t="s">
        <v>98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2">
      <c r="A43" s="49" t="s">
        <v>99</v>
      </c>
      <c r="B43" s="43" t="s">
        <v>100</v>
      </c>
      <c r="C43" s="47" t="s">
        <v>16</v>
      </c>
      <c r="D43" s="48" t="s">
        <v>16</v>
      </c>
      <c r="E43" s="48" t="s">
        <v>16</v>
      </c>
      <c r="F43" s="48" t="s">
        <v>16</v>
      </c>
      <c r="G43" s="48" t="s">
        <v>16</v>
      </c>
      <c r="H43" s="48" t="s">
        <v>16</v>
      </c>
      <c r="I43" s="48" t="s">
        <v>16</v>
      </c>
      <c r="J43" s="48" t="s">
        <v>16</v>
      </c>
      <c r="K43" s="48" t="s">
        <v>15</v>
      </c>
      <c r="L43" s="48" t="s">
        <v>15</v>
      </c>
      <c r="M43" s="46" t="s">
        <v>101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9.2" x14ac:dyDescent="0.2">
      <c r="A44" s="50" t="s">
        <v>102</v>
      </c>
      <c r="B44" s="51" t="s">
        <v>103</v>
      </c>
      <c r="C44" s="150" t="s">
        <v>104</v>
      </c>
      <c r="D44" s="150"/>
      <c r="E44" s="150"/>
      <c r="F44" s="150"/>
      <c r="G44" s="150"/>
      <c r="H44" s="150"/>
      <c r="I44" s="150"/>
      <c r="J44" s="150"/>
      <c r="K44" s="150"/>
      <c r="L44" s="150"/>
      <c r="M44" s="15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152" t="s">
        <v>105</v>
      </c>
      <c r="B46" s="153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2"/>
      <c r="B47" s="23" t="s">
        <v>106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24" t="s">
        <v>107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2">
      <c r="A49" s="161" t="s">
        <v>108</v>
      </c>
      <c r="B49" s="16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2">
      <c r="A50" s="54"/>
      <c r="B50" s="2" t="s">
        <v>109</v>
      </c>
      <c r="C50" s="55" t="s">
        <v>15</v>
      </c>
      <c r="D50" s="56" t="s">
        <v>15</v>
      </c>
      <c r="E50" s="56" t="s">
        <v>15</v>
      </c>
      <c r="F50" s="56" t="s">
        <v>35</v>
      </c>
      <c r="G50" s="56" t="s">
        <v>15</v>
      </c>
      <c r="H50" s="56" t="s">
        <v>35</v>
      </c>
      <c r="I50" s="56" t="s">
        <v>15</v>
      </c>
      <c r="J50" s="56" t="s">
        <v>35</v>
      </c>
      <c r="K50" s="45" t="s">
        <v>16</v>
      </c>
      <c r="L50" s="45" t="s">
        <v>16</v>
      </c>
      <c r="M50" s="5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2">
      <c r="A51" s="54"/>
      <c r="B51" s="2" t="s">
        <v>110</v>
      </c>
      <c r="C51" s="47" t="s">
        <v>16</v>
      </c>
      <c r="D51" s="48" t="s">
        <v>16</v>
      </c>
      <c r="E51" s="48" t="s">
        <v>16</v>
      </c>
      <c r="F51" s="48" t="s">
        <v>16</v>
      </c>
      <c r="G51" s="48" t="s">
        <v>16</v>
      </c>
      <c r="H51" s="48" t="s">
        <v>16</v>
      </c>
      <c r="I51" s="48" t="s">
        <v>16</v>
      </c>
      <c r="J51" s="48" t="s">
        <v>16</v>
      </c>
      <c r="K51" s="58" t="s">
        <v>15</v>
      </c>
      <c r="L51" s="58" t="s">
        <v>15</v>
      </c>
      <c r="M51" s="59" t="s">
        <v>111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2">
      <c r="A52" s="60"/>
      <c r="B52" s="61" t="s">
        <v>112</v>
      </c>
      <c r="C52" s="47" t="s">
        <v>16</v>
      </c>
      <c r="D52" s="48" t="s">
        <v>16</v>
      </c>
      <c r="E52" s="48" t="s">
        <v>16</v>
      </c>
      <c r="F52" s="48" t="s">
        <v>16</v>
      </c>
      <c r="G52" s="48" t="s">
        <v>16</v>
      </c>
      <c r="H52" s="48" t="s">
        <v>16</v>
      </c>
      <c r="I52" s="48" t="s">
        <v>16</v>
      </c>
      <c r="J52" s="48" t="s">
        <v>16</v>
      </c>
      <c r="K52" s="58" t="s">
        <v>15</v>
      </c>
      <c r="L52" s="58" t="s">
        <v>15</v>
      </c>
      <c r="M52" s="62" t="s">
        <v>113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2">
      <c r="A53" s="2"/>
      <c r="B53" s="2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14">
    <mergeCell ref="A49:B49"/>
    <mergeCell ref="A24:B24"/>
    <mergeCell ref="A29:B29"/>
    <mergeCell ref="A35:B35"/>
    <mergeCell ref="A39:B39"/>
    <mergeCell ref="C44:M44"/>
    <mergeCell ref="A46:B46"/>
    <mergeCell ref="A1:M1"/>
    <mergeCell ref="A4:B5"/>
    <mergeCell ref="C4:D4"/>
    <mergeCell ref="E4:F4"/>
    <mergeCell ref="G4:H4"/>
    <mergeCell ref="I4:J4"/>
    <mergeCell ref="K4:L4"/>
  </mergeCells>
  <phoneticPr fontId="18"/>
  <hyperlinks>
    <hyperlink ref="A40" location="財審様式!A1" display="財審様式!A1" xr:uid="{00000000-0004-0000-0000-000000000000}"/>
    <hyperlink ref="A41" location="財審様式!A1" display="財審様式!A1" xr:uid="{00000000-0004-0000-0000-000001000000}"/>
    <hyperlink ref="A42" location="財審様式!A1" display="財審様式!A1" xr:uid="{00000000-0004-0000-0000-000002000000}"/>
    <hyperlink ref="A44" location="財審様式!A1" display="財審様式!A1" xr:uid="{00000000-0004-0000-0000-000003000000}"/>
  </hyperlinks>
  <printOptions horizontalCentered="1"/>
  <pageMargins left="0.24" right="0.24" top="0.75" bottom="0.75" header="0.31" footer="0.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showGridLines="0" tabSelected="1" zoomScale="70" zoomScaleNormal="70" workbookViewId="0">
      <selection activeCell="F25" sqref="F25"/>
    </sheetView>
  </sheetViews>
  <sheetFormatPr defaultColWidth="8.77734375" defaultRowHeight="13.2" x14ac:dyDescent="0.2"/>
  <cols>
    <col min="1" max="1" width="1.88671875" style="64" customWidth="1"/>
    <col min="2" max="2" width="6.88671875" style="64" customWidth="1"/>
    <col min="3" max="3" width="5.88671875" style="64" customWidth="1"/>
    <col min="4" max="4" width="4.77734375" style="64" bestFit="1" customWidth="1"/>
    <col min="5" max="5" width="3.6640625" style="64" customWidth="1"/>
    <col min="6" max="6" width="6.109375" style="64" customWidth="1"/>
    <col min="7" max="7" width="3.6640625" style="64" customWidth="1"/>
    <col min="8" max="8" width="5.44140625" style="64" customWidth="1"/>
    <col min="9" max="9" width="3.6640625" style="64" customWidth="1"/>
    <col min="10" max="10" width="5.6640625" style="64" customWidth="1"/>
    <col min="11" max="11" width="49" style="64" customWidth="1"/>
    <col min="12" max="12" width="22" style="64" customWidth="1"/>
    <col min="13" max="13" width="20.109375" style="64" customWidth="1"/>
    <col min="14" max="14" width="25.44140625" style="64" customWidth="1"/>
    <col min="15" max="15" width="2" style="64" customWidth="1"/>
    <col min="16" max="20" width="3.6640625" style="64" customWidth="1"/>
    <col min="21" max="16384" width="8.77734375" style="64"/>
  </cols>
  <sheetData>
    <row r="1" spans="1:14" ht="15" customHeight="1" x14ac:dyDescent="0.2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 t="s">
        <v>114</v>
      </c>
    </row>
    <row r="2" spans="1:14" ht="15" customHeight="1" x14ac:dyDescent="0.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7">
        <v>44633</v>
      </c>
    </row>
    <row r="3" spans="1:14" ht="15" customHeight="1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 t="s">
        <v>215</v>
      </c>
    </row>
    <row r="4" spans="1:14" ht="15" customHeight="1" x14ac:dyDescent="0.2">
      <c r="A4" s="65"/>
      <c r="B4" s="171" t="s">
        <v>115</v>
      </c>
      <c r="C4" s="171"/>
      <c r="D4" s="171"/>
      <c r="E4" s="171"/>
      <c r="F4" s="171"/>
      <c r="G4" s="171"/>
      <c r="H4" s="171"/>
      <c r="I4" s="69"/>
      <c r="J4" s="65"/>
      <c r="K4" s="65"/>
      <c r="L4" s="65"/>
      <c r="M4" s="65"/>
      <c r="N4" s="65"/>
    </row>
    <row r="5" spans="1:14" ht="5.25" customHeight="1" x14ac:dyDescent="0.2">
      <c r="A5" s="65"/>
      <c r="B5" s="68"/>
      <c r="C5" s="68"/>
      <c r="D5" s="68"/>
      <c r="E5" s="68"/>
      <c r="F5" s="68"/>
      <c r="G5" s="68"/>
      <c r="H5" s="68"/>
      <c r="I5" s="69"/>
      <c r="J5" s="65"/>
      <c r="K5" s="65"/>
      <c r="L5" s="65"/>
      <c r="M5" s="65"/>
      <c r="N5" s="65"/>
    </row>
    <row r="6" spans="1:14" ht="3.75" customHeight="1" x14ac:dyDescent="0.2">
      <c r="A6" s="65"/>
      <c r="B6" s="68"/>
      <c r="C6" s="68"/>
      <c r="D6" s="68"/>
      <c r="E6" s="68"/>
      <c r="F6" s="68"/>
      <c r="G6" s="68"/>
      <c r="H6" s="68"/>
      <c r="I6" s="69"/>
      <c r="J6" s="65"/>
      <c r="K6" s="65"/>
      <c r="L6" s="65"/>
      <c r="M6" s="65"/>
      <c r="N6" s="65"/>
    </row>
    <row r="7" spans="1:14" ht="18" customHeight="1" x14ac:dyDescent="0.2">
      <c r="A7" s="65"/>
      <c r="B7" s="69" t="s">
        <v>116</v>
      </c>
      <c r="C7" s="69"/>
      <c r="D7" s="69"/>
      <c r="E7" s="69"/>
      <c r="F7" s="69"/>
      <c r="G7" s="69"/>
      <c r="H7" s="69"/>
      <c r="I7" s="69"/>
      <c r="J7" s="69" t="s">
        <v>117</v>
      </c>
      <c r="K7" s="65"/>
      <c r="L7" s="65"/>
      <c r="M7" s="65"/>
      <c r="N7" s="65"/>
    </row>
    <row r="8" spans="1:14" ht="15" customHeight="1" x14ac:dyDescent="0.2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171" t="s">
        <v>115</v>
      </c>
      <c r="N8" s="171"/>
    </row>
    <row r="9" spans="1:14" ht="33" customHeight="1" x14ac:dyDescent="0.2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171" t="s">
        <v>118</v>
      </c>
      <c r="N9" s="171"/>
    </row>
    <row r="10" spans="1:14" ht="18" customHeight="1" x14ac:dyDescent="0.2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9"/>
      <c r="M10" s="68" t="s">
        <v>119</v>
      </c>
      <c r="N10" s="66" t="s">
        <v>120</v>
      </c>
    </row>
    <row r="11" spans="1:14" ht="15" customHeight="1" x14ac:dyDescent="0.2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29.25" customHeight="1" thickBot="1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172" t="s">
        <v>121</v>
      </c>
      <c r="K12" s="172"/>
      <c r="L12" s="172"/>
      <c r="M12" s="70"/>
      <c r="N12" s="71"/>
    </row>
    <row r="13" spans="1:14" ht="31.5" customHeight="1" thickBot="1" x14ac:dyDescent="0.25">
      <c r="A13" s="65"/>
      <c r="B13" s="172" t="s">
        <v>122</v>
      </c>
      <c r="C13" s="172"/>
      <c r="D13" s="172"/>
      <c r="E13" s="172"/>
      <c r="F13" s="172"/>
      <c r="G13" s="172"/>
      <c r="H13" s="172"/>
      <c r="I13" s="173"/>
      <c r="J13" s="72" t="s">
        <v>123</v>
      </c>
      <c r="K13" s="73">
        <v>300000</v>
      </c>
      <c r="L13" s="74"/>
      <c r="M13" s="75"/>
      <c r="N13" s="76"/>
    </row>
    <row r="14" spans="1:14" ht="31.5" customHeight="1" thickTop="1" thickBot="1" x14ac:dyDescent="0.25">
      <c r="A14" s="65"/>
      <c r="B14" s="172" t="s">
        <v>124</v>
      </c>
      <c r="C14" s="172"/>
      <c r="D14" s="172"/>
      <c r="E14" s="172"/>
      <c r="F14" s="172"/>
      <c r="G14" s="172"/>
      <c r="H14" s="172"/>
      <c r="I14" s="174"/>
      <c r="J14" s="77" t="s">
        <v>123</v>
      </c>
      <c r="K14" s="78">
        <v>300000</v>
      </c>
      <c r="L14" s="74"/>
      <c r="M14" s="75"/>
      <c r="N14" s="76"/>
    </row>
    <row r="15" spans="1:14" ht="25.5" customHeight="1" thickTop="1" thickBo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175" t="s">
        <v>125</v>
      </c>
      <c r="K15" s="175"/>
      <c r="L15" s="65"/>
      <c r="M15" s="65"/>
      <c r="N15" s="65"/>
    </row>
    <row r="16" spans="1:14" ht="42.75" customHeight="1" thickTop="1" x14ac:dyDescent="0.2">
      <c r="A16" s="65"/>
      <c r="B16" s="165" t="s">
        <v>126</v>
      </c>
      <c r="C16" s="166"/>
      <c r="D16" s="166"/>
      <c r="E16" s="167"/>
      <c r="F16" s="176" t="s">
        <v>127</v>
      </c>
      <c r="G16" s="177"/>
      <c r="H16" s="177"/>
      <c r="I16" s="178"/>
      <c r="J16" s="179" t="s">
        <v>128</v>
      </c>
      <c r="K16" s="180"/>
      <c r="L16" s="79" t="s">
        <v>129</v>
      </c>
      <c r="M16" s="80" t="s">
        <v>130</v>
      </c>
      <c r="N16" s="81" t="s">
        <v>131</v>
      </c>
    </row>
    <row r="17" spans="1:14" ht="30" customHeight="1" x14ac:dyDescent="0.2">
      <c r="A17" s="65"/>
      <c r="B17" s="82">
        <v>1</v>
      </c>
      <c r="C17" s="83" t="s">
        <v>132</v>
      </c>
      <c r="D17" s="84">
        <v>17</v>
      </c>
      <c r="E17" s="85" t="s">
        <v>133</v>
      </c>
      <c r="F17" s="86">
        <v>1</v>
      </c>
      <c r="G17" s="83" t="s">
        <v>132</v>
      </c>
      <c r="H17" s="84">
        <v>17</v>
      </c>
      <c r="I17" s="85" t="s">
        <v>133</v>
      </c>
      <c r="J17" s="181" t="s">
        <v>134</v>
      </c>
      <c r="K17" s="182"/>
      <c r="L17" s="87">
        <v>111630</v>
      </c>
      <c r="M17" s="88"/>
      <c r="N17" s="89">
        <f>$L$17</f>
        <v>111630</v>
      </c>
    </row>
    <row r="18" spans="1:14" ht="30" customHeight="1" thickBot="1" x14ac:dyDescent="0.25">
      <c r="A18" s="65"/>
      <c r="B18" s="165"/>
      <c r="C18" s="166"/>
      <c r="D18" s="166"/>
      <c r="E18" s="167"/>
      <c r="F18" s="168" t="s">
        <v>135</v>
      </c>
      <c r="G18" s="166"/>
      <c r="H18" s="166"/>
      <c r="I18" s="167"/>
      <c r="J18" s="169"/>
      <c r="K18" s="170"/>
      <c r="L18" s="90">
        <v>111630</v>
      </c>
      <c r="M18" s="88">
        <v>0</v>
      </c>
      <c r="N18" s="89">
        <f>$L$17</f>
        <v>111630</v>
      </c>
    </row>
    <row r="19" spans="1:14" ht="15" customHeight="1" thickTop="1" x14ac:dyDescent="0.2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</row>
    <row r="20" spans="1:14" ht="15" customHeight="1" x14ac:dyDescent="0.2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" customHeight="1" x14ac:dyDescent="0.2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4" ht="15" customHeight="1" x14ac:dyDescent="0.2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5" customHeight="1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</row>
    <row r="24" spans="1:14" ht="15" customHeight="1" x14ac:dyDescent="0.2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ht="15" customHeight="1" x14ac:dyDescent="0.2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6" spans="1:14" ht="15" customHeight="1" x14ac:dyDescent="0.2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15" customHeight="1" x14ac:dyDescent="0.2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15" customHeight="1" x14ac:dyDescent="0.2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spans="1:14" ht="15" customHeight="1" x14ac:dyDescent="0.2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5" customHeight="1" x14ac:dyDescent="0.2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  <row r="33" s="64" customFormat="1" x14ac:dyDescent="0.2"/>
    <row r="34" s="64" customFormat="1" x14ac:dyDescent="0.2"/>
    <row r="35" s="64" customFormat="1" x14ac:dyDescent="0.2"/>
    <row r="36" s="64" customFormat="1" x14ac:dyDescent="0.2"/>
    <row r="37" s="64" customFormat="1" x14ac:dyDescent="0.2"/>
    <row r="38" s="64" customFormat="1" x14ac:dyDescent="0.2"/>
  </sheetData>
  <mergeCells count="14">
    <mergeCell ref="B18:E18"/>
    <mergeCell ref="F18:I18"/>
    <mergeCell ref="J18:K18"/>
    <mergeCell ref="B4:H4"/>
    <mergeCell ref="M8:N8"/>
    <mergeCell ref="M9:N9"/>
    <mergeCell ref="J12:L12"/>
    <mergeCell ref="B13:I13"/>
    <mergeCell ref="B14:I14"/>
    <mergeCell ref="J15:K15"/>
    <mergeCell ref="B16:E16"/>
    <mergeCell ref="F16:I16"/>
    <mergeCell ref="J16:K16"/>
    <mergeCell ref="J17:K17"/>
  </mergeCells>
  <phoneticPr fontId="18"/>
  <pageMargins left="0" right="0" top="0.59" bottom="0.63" header="0.51" footer="0.51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workbookViewId="0">
      <selection activeCell="C24" sqref="C24"/>
    </sheetView>
  </sheetViews>
  <sheetFormatPr defaultRowHeight="13.2" x14ac:dyDescent="0.2"/>
  <cols>
    <col min="1" max="1" width="9.109375" customWidth="1"/>
    <col min="2" max="2" width="27.6640625" customWidth="1"/>
    <col min="3" max="3" width="23.109375" customWidth="1"/>
    <col min="4" max="4" width="23.88671875" customWidth="1"/>
    <col min="5" max="5" width="15.77734375" bestFit="1" customWidth="1"/>
    <col min="6" max="6" width="6.44140625" customWidth="1"/>
    <col min="7" max="7" width="22.88671875" customWidth="1"/>
    <col min="8" max="8" width="13.88671875" customWidth="1"/>
  </cols>
  <sheetData>
    <row r="1" spans="1:8" x14ac:dyDescent="0.2">
      <c r="A1" s="91"/>
      <c r="B1" s="91"/>
      <c r="C1" s="91"/>
      <c r="D1" s="91"/>
      <c r="E1" s="91"/>
      <c r="F1" s="91"/>
      <c r="G1" s="91"/>
      <c r="H1" s="96" t="s">
        <v>182</v>
      </c>
    </row>
    <row r="2" spans="1:8" ht="16.2" x14ac:dyDescent="0.2">
      <c r="A2" s="91"/>
      <c r="B2" s="97" t="s">
        <v>30</v>
      </c>
      <c r="C2" s="97"/>
      <c r="D2" s="97"/>
      <c r="E2" s="97"/>
      <c r="F2" s="97"/>
      <c r="G2" s="97"/>
      <c r="H2" s="97"/>
    </row>
    <row r="3" spans="1:8" x14ac:dyDescent="0.2">
      <c r="A3" s="91"/>
      <c r="B3" s="98" t="s">
        <v>183</v>
      </c>
      <c r="C3" s="98"/>
      <c r="D3" s="98"/>
      <c r="E3" s="98"/>
      <c r="F3" s="98"/>
      <c r="G3" s="98"/>
      <c r="H3" s="98"/>
    </row>
    <row r="4" spans="1:8" ht="13.8" thickBot="1" x14ac:dyDescent="0.25">
      <c r="A4" s="91"/>
      <c r="B4" s="91"/>
      <c r="C4" s="91"/>
      <c r="D4" s="91"/>
      <c r="E4" s="91"/>
      <c r="F4" s="91"/>
      <c r="G4" s="91"/>
      <c r="H4" s="91"/>
    </row>
    <row r="5" spans="1:8" x14ac:dyDescent="0.2">
      <c r="A5" s="187" t="s">
        <v>184</v>
      </c>
      <c r="B5" s="188"/>
      <c r="C5" s="188"/>
      <c r="D5" s="188"/>
      <c r="E5" s="189"/>
      <c r="F5" s="190" t="s">
        <v>185</v>
      </c>
      <c r="G5" s="188"/>
      <c r="H5" s="191"/>
    </row>
    <row r="6" spans="1:8" ht="13.8" thickBot="1" x14ac:dyDescent="0.25">
      <c r="A6" s="99" t="s">
        <v>186</v>
      </c>
      <c r="B6" s="100" t="s">
        <v>187</v>
      </c>
      <c r="C6" s="100" t="s">
        <v>188</v>
      </c>
      <c r="D6" s="100" t="s">
        <v>189</v>
      </c>
      <c r="E6" s="101" t="s">
        <v>190</v>
      </c>
      <c r="F6" s="102" t="s">
        <v>191</v>
      </c>
      <c r="G6" s="100" t="s">
        <v>187</v>
      </c>
      <c r="H6" s="103" t="s">
        <v>192</v>
      </c>
    </row>
    <row r="7" spans="1:8" x14ac:dyDescent="0.2">
      <c r="A7" s="129">
        <v>1</v>
      </c>
      <c r="B7" s="92" t="s">
        <v>193</v>
      </c>
      <c r="C7" s="92" t="s">
        <v>213</v>
      </c>
      <c r="D7" s="104">
        <v>73623</v>
      </c>
      <c r="E7" s="146">
        <v>44592</v>
      </c>
      <c r="F7" s="105"/>
      <c r="G7" s="106"/>
      <c r="H7" s="107"/>
    </row>
    <row r="8" spans="1:8" x14ac:dyDescent="0.2">
      <c r="A8" s="95">
        <v>2</v>
      </c>
      <c r="B8" s="93" t="s">
        <v>212</v>
      </c>
      <c r="C8" s="93" t="s">
        <v>214</v>
      </c>
      <c r="D8" s="108">
        <v>8007</v>
      </c>
      <c r="E8" s="147">
        <v>44553</v>
      </c>
      <c r="F8" s="109"/>
      <c r="G8" s="110"/>
      <c r="H8" s="111"/>
    </row>
    <row r="9" spans="1:8" ht="13.8" thickBot="1" x14ac:dyDescent="0.25">
      <c r="A9" s="142">
        <v>3</v>
      </c>
      <c r="B9" s="112" t="s">
        <v>194</v>
      </c>
      <c r="C9" s="112" t="s">
        <v>178</v>
      </c>
      <c r="D9" s="113">
        <v>30000</v>
      </c>
      <c r="E9" s="144">
        <v>44926</v>
      </c>
      <c r="F9" s="114"/>
      <c r="G9" s="115"/>
      <c r="H9" s="116"/>
    </row>
    <row r="10" spans="1:8" ht="13.8" thickBot="1" x14ac:dyDescent="0.25">
      <c r="A10" s="192"/>
      <c r="B10" s="193"/>
      <c r="C10" s="117" t="s">
        <v>195</v>
      </c>
      <c r="D10" s="118">
        <f>(D7+D9+D8)</f>
        <v>111630</v>
      </c>
      <c r="E10" s="91"/>
      <c r="F10" s="91"/>
      <c r="G10" s="91"/>
      <c r="H10" s="119"/>
    </row>
    <row r="11" spans="1:8" ht="21" customHeight="1" x14ac:dyDescent="0.2">
      <c r="A11" s="194" t="s">
        <v>196</v>
      </c>
      <c r="B11" s="194"/>
      <c r="C11" s="194"/>
      <c r="D11" s="194"/>
      <c r="E11" s="194"/>
      <c r="F11" s="194"/>
      <c r="G11" s="194"/>
      <c r="H11" s="194"/>
    </row>
    <row r="12" spans="1:8" s="120" customFormat="1" ht="17.25" customHeight="1" x14ac:dyDescent="0.2">
      <c r="A12" s="121" t="s">
        <v>197</v>
      </c>
      <c r="B12" s="121"/>
      <c r="C12" s="121"/>
      <c r="D12" s="122"/>
      <c r="E12" s="122"/>
      <c r="F12" s="122"/>
      <c r="G12" s="122"/>
      <c r="H12" s="122"/>
    </row>
    <row r="13" spans="1:8" ht="17.25" customHeight="1" x14ac:dyDescent="0.2">
      <c r="A13" s="195" t="s">
        <v>198</v>
      </c>
      <c r="B13" s="195"/>
      <c r="C13" s="195"/>
      <c r="D13" s="195"/>
      <c r="E13" s="195"/>
      <c r="F13" s="195"/>
      <c r="G13" s="195"/>
      <c r="H13" s="195"/>
    </row>
    <row r="14" spans="1:8" ht="21" customHeight="1" x14ac:dyDescent="0.2">
      <c r="A14" s="123"/>
      <c r="B14" s="124"/>
      <c r="C14" s="124"/>
      <c r="D14" s="124"/>
      <c r="E14" s="124"/>
      <c r="F14" s="124"/>
      <c r="G14" s="124"/>
      <c r="H14" s="124"/>
    </row>
    <row r="15" spans="1:8" ht="13.8" thickBot="1" x14ac:dyDescent="0.25">
      <c r="A15" s="91"/>
      <c r="B15" s="91"/>
      <c r="C15" s="91"/>
      <c r="D15" s="91"/>
      <c r="E15" s="91"/>
      <c r="F15" s="91"/>
      <c r="G15" s="91"/>
      <c r="H15" s="91"/>
    </row>
    <row r="16" spans="1:8" ht="13.8" thickBot="1" x14ac:dyDescent="0.25">
      <c r="A16" s="125" t="s">
        <v>186</v>
      </c>
      <c r="B16" s="126" t="s">
        <v>199</v>
      </c>
      <c r="C16" s="126" t="s">
        <v>200</v>
      </c>
      <c r="D16" s="127" t="s">
        <v>201</v>
      </c>
      <c r="E16" s="128" t="s">
        <v>202</v>
      </c>
      <c r="F16" s="94"/>
      <c r="G16" s="91"/>
      <c r="H16" s="94"/>
    </row>
    <row r="17" spans="1:8" ht="24" customHeight="1" x14ac:dyDescent="0.2">
      <c r="A17" s="129">
        <v>1</v>
      </c>
      <c r="B17" s="130" t="s">
        <v>203</v>
      </c>
      <c r="C17" s="131" t="s" ph="1">
        <v>204</v>
      </c>
      <c r="D17" s="132" t="s">
        <v>205</v>
      </c>
      <c r="E17" s="133" t="s">
        <v>207</v>
      </c>
      <c r="F17" s="134"/>
      <c r="G17" s="91"/>
      <c r="H17" s="135"/>
    </row>
    <row r="18" spans="1:8" ht="24" customHeight="1" thickBot="1" x14ac:dyDescent="0.25">
      <c r="A18" s="142">
        <v>3</v>
      </c>
      <c r="B18" s="136" t="s">
        <v>208</v>
      </c>
      <c r="C18" s="137" t="s" ph="1">
        <v>204</v>
      </c>
      <c r="D18" s="138" t="s">
        <v>209</v>
      </c>
      <c r="E18" s="139" t="s">
        <v>206</v>
      </c>
      <c r="F18" s="134"/>
      <c r="G18" s="91"/>
      <c r="H18" s="135"/>
    </row>
    <row r="19" spans="1:8" ht="13.8" thickBot="1" x14ac:dyDescent="0.25">
      <c r="A19" s="91"/>
      <c r="B19" s="91"/>
      <c r="C19" s="91"/>
      <c r="D19" s="140" t="s">
        <v>210</v>
      </c>
      <c r="E19" s="141">
        <v>0</v>
      </c>
      <c r="F19" s="91"/>
      <c r="G19" s="91"/>
      <c r="H19" s="91"/>
    </row>
    <row r="20" spans="1:8" ht="20.399999999999999" x14ac:dyDescent="0.2">
      <c r="A20" s="2"/>
      <c r="B20" s="2"/>
      <c r="C20" s="2" ph="1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ht="20.399999999999999" x14ac:dyDescent="0.2">
      <c r="A31" s="2"/>
      <c r="B31" s="2"/>
      <c r="C31" s="2" ph="1"/>
      <c r="D31" s="2"/>
      <c r="E31" s="2"/>
      <c r="F31" s="2"/>
      <c r="G31" s="2"/>
      <c r="H31" s="2"/>
    </row>
  </sheetData>
  <mergeCells count="5">
    <mergeCell ref="A5:E5"/>
    <mergeCell ref="F5:H5"/>
    <mergeCell ref="A10:B10"/>
    <mergeCell ref="A11:H11"/>
    <mergeCell ref="A13:H13"/>
  </mergeCells>
  <phoneticPr fontId="18"/>
  <hyperlinks>
    <hyperlink ref="A8" r:id="rId1" display="mitsumori\kitte_ryousyuusyo2.pdf" xr:uid="{38BD18A5-AA5A-4F20-B2DB-B32AF0DF65A5}"/>
    <hyperlink ref="A9" r:id="rId2" display="mitsumori\teensmyujikaru_mitumori2.pdf" xr:uid="{67A77431-7417-4CB9-A1A0-0DDBFC528BCB}"/>
    <hyperlink ref="A7" r:id="rId3" display="mitsumori\gurandehagakure_heyadai2.pdf" xr:uid="{A4CEDF23-E668-4EF4-A6FB-09EDA63E481C}"/>
    <hyperlink ref="A17" r:id="rId4" display="mitsumori\gurandehagakure_heyadai2.pdf" xr:uid="{0B4CF5FB-EF0D-43F6-B185-44D16218FE3E}"/>
    <hyperlink ref="A18" r:id="rId5" display="mitsumori\teensmyujikaru_mitumori2.pdf" xr:uid="{B1EEFCCC-1934-46D9-AE88-6E1FE1C52923}"/>
  </hyperlinks>
  <printOptions horizontalCentered="1"/>
  <pageMargins left="1.06" right="0.67" top="0.98" bottom="0.98" header="0.51" footer="0.51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showGridLines="0" topLeftCell="A10" workbookViewId="0">
      <selection activeCell="C29" sqref="C29"/>
    </sheetView>
  </sheetViews>
  <sheetFormatPr defaultColWidth="9" defaultRowHeight="13.2" x14ac:dyDescent="0.2"/>
  <cols>
    <col min="1" max="1" width="3.88671875" style="197" customWidth="1"/>
    <col min="2" max="2" width="18.6640625" style="197" customWidth="1"/>
    <col min="3" max="5" width="15.6640625" style="197" customWidth="1"/>
    <col min="6" max="6" width="23.109375" style="197" customWidth="1"/>
    <col min="7" max="256" width="9" style="197"/>
    <col min="257" max="257" width="3.88671875" style="197" customWidth="1"/>
    <col min="258" max="258" width="18.6640625" style="197" customWidth="1"/>
    <col min="259" max="261" width="15.6640625" style="197" customWidth="1"/>
    <col min="262" max="262" width="23.109375" style="197" customWidth="1"/>
    <col min="263" max="512" width="9" style="197"/>
    <col min="513" max="513" width="3.88671875" style="197" customWidth="1"/>
    <col min="514" max="514" width="18.6640625" style="197" customWidth="1"/>
    <col min="515" max="517" width="15.6640625" style="197" customWidth="1"/>
    <col min="518" max="518" width="23.109375" style="197" customWidth="1"/>
    <col min="519" max="768" width="9" style="197"/>
    <col min="769" max="769" width="3.88671875" style="197" customWidth="1"/>
    <col min="770" max="770" width="18.6640625" style="197" customWidth="1"/>
    <col min="771" max="773" width="15.6640625" style="197" customWidth="1"/>
    <col min="774" max="774" width="23.109375" style="197" customWidth="1"/>
    <col min="775" max="1024" width="9" style="197"/>
    <col min="1025" max="1025" width="3.88671875" style="197" customWidth="1"/>
    <col min="1026" max="1026" width="18.6640625" style="197" customWidth="1"/>
    <col min="1027" max="1029" width="15.6640625" style="197" customWidth="1"/>
    <col min="1030" max="1030" width="23.109375" style="197" customWidth="1"/>
    <col min="1031" max="1280" width="9" style="197"/>
    <col min="1281" max="1281" width="3.88671875" style="197" customWidth="1"/>
    <col min="1282" max="1282" width="18.6640625" style="197" customWidth="1"/>
    <col min="1283" max="1285" width="15.6640625" style="197" customWidth="1"/>
    <col min="1286" max="1286" width="23.109375" style="197" customWidth="1"/>
    <col min="1287" max="1536" width="9" style="197"/>
    <col min="1537" max="1537" width="3.88671875" style="197" customWidth="1"/>
    <col min="1538" max="1538" width="18.6640625" style="197" customWidth="1"/>
    <col min="1539" max="1541" width="15.6640625" style="197" customWidth="1"/>
    <col min="1542" max="1542" width="23.109375" style="197" customWidth="1"/>
    <col min="1543" max="1792" width="9" style="197"/>
    <col min="1793" max="1793" width="3.88671875" style="197" customWidth="1"/>
    <col min="1794" max="1794" width="18.6640625" style="197" customWidth="1"/>
    <col min="1795" max="1797" width="15.6640625" style="197" customWidth="1"/>
    <col min="1798" max="1798" width="23.109375" style="197" customWidth="1"/>
    <col min="1799" max="2048" width="9" style="197"/>
    <col min="2049" max="2049" width="3.88671875" style="197" customWidth="1"/>
    <col min="2050" max="2050" width="18.6640625" style="197" customWidth="1"/>
    <col min="2051" max="2053" width="15.6640625" style="197" customWidth="1"/>
    <col min="2054" max="2054" width="23.109375" style="197" customWidth="1"/>
    <col min="2055" max="2304" width="9" style="197"/>
    <col min="2305" max="2305" width="3.88671875" style="197" customWidth="1"/>
    <col min="2306" max="2306" width="18.6640625" style="197" customWidth="1"/>
    <col min="2307" max="2309" width="15.6640625" style="197" customWidth="1"/>
    <col min="2310" max="2310" width="23.109375" style="197" customWidth="1"/>
    <col min="2311" max="2560" width="9" style="197"/>
    <col min="2561" max="2561" width="3.88671875" style="197" customWidth="1"/>
    <col min="2562" max="2562" width="18.6640625" style="197" customWidth="1"/>
    <col min="2563" max="2565" width="15.6640625" style="197" customWidth="1"/>
    <col min="2566" max="2566" width="23.109375" style="197" customWidth="1"/>
    <col min="2567" max="2816" width="9" style="197"/>
    <col min="2817" max="2817" width="3.88671875" style="197" customWidth="1"/>
    <col min="2818" max="2818" width="18.6640625" style="197" customWidth="1"/>
    <col min="2819" max="2821" width="15.6640625" style="197" customWidth="1"/>
    <col min="2822" max="2822" width="23.109375" style="197" customWidth="1"/>
    <col min="2823" max="3072" width="9" style="197"/>
    <col min="3073" max="3073" width="3.88671875" style="197" customWidth="1"/>
    <col min="3074" max="3074" width="18.6640625" style="197" customWidth="1"/>
    <col min="3075" max="3077" width="15.6640625" style="197" customWidth="1"/>
    <col min="3078" max="3078" width="23.109375" style="197" customWidth="1"/>
    <col min="3079" max="3328" width="9" style="197"/>
    <col min="3329" max="3329" width="3.88671875" style="197" customWidth="1"/>
    <col min="3330" max="3330" width="18.6640625" style="197" customWidth="1"/>
    <col min="3331" max="3333" width="15.6640625" style="197" customWidth="1"/>
    <col min="3334" max="3334" width="23.109375" style="197" customWidth="1"/>
    <col min="3335" max="3584" width="9" style="197"/>
    <col min="3585" max="3585" width="3.88671875" style="197" customWidth="1"/>
    <col min="3586" max="3586" width="18.6640625" style="197" customWidth="1"/>
    <col min="3587" max="3589" width="15.6640625" style="197" customWidth="1"/>
    <col min="3590" max="3590" width="23.109375" style="197" customWidth="1"/>
    <col min="3591" max="3840" width="9" style="197"/>
    <col min="3841" max="3841" width="3.88671875" style="197" customWidth="1"/>
    <col min="3842" max="3842" width="18.6640625" style="197" customWidth="1"/>
    <col min="3843" max="3845" width="15.6640625" style="197" customWidth="1"/>
    <col min="3846" max="3846" width="23.109375" style="197" customWidth="1"/>
    <col min="3847" max="4096" width="9" style="197"/>
    <col min="4097" max="4097" width="3.88671875" style="197" customWidth="1"/>
    <col min="4098" max="4098" width="18.6640625" style="197" customWidth="1"/>
    <col min="4099" max="4101" width="15.6640625" style="197" customWidth="1"/>
    <col min="4102" max="4102" width="23.109375" style="197" customWidth="1"/>
    <col min="4103" max="4352" width="9" style="197"/>
    <col min="4353" max="4353" width="3.88671875" style="197" customWidth="1"/>
    <col min="4354" max="4354" width="18.6640625" style="197" customWidth="1"/>
    <col min="4355" max="4357" width="15.6640625" style="197" customWidth="1"/>
    <col min="4358" max="4358" width="23.109375" style="197" customWidth="1"/>
    <col min="4359" max="4608" width="9" style="197"/>
    <col min="4609" max="4609" width="3.88671875" style="197" customWidth="1"/>
    <col min="4610" max="4610" width="18.6640625" style="197" customWidth="1"/>
    <col min="4611" max="4613" width="15.6640625" style="197" customWidth="1"/>
    <col min="4614" max="4614" width="23.109375" style="197" customWidth="1"/>
    <col min="4615" max="4864" width="9" style="197"/>
    <col min="4865" max="4865" width="3.88671875" style="197" customWidth="1"/>
    <col min="4866" max="4866" width="18.6640625" style="197" customWidth="1"/>
    <col min="4867" max="4869" width="15.6640625" style="197" customWidth="1"/>
    <col min="4870" max="4870" width="23.109375" style="197" customWidth="1"/>
    <col min="4871" max="5120" width="9" style="197"/>
    <col min="5121" max="5121" width="3.88671875" style="197" customWidth="1"/>
    <col min="5122" max="5122" width="18.6640625" style="197" customWidth="1"/>
    <col min="5123" max="5125" width="15.6640625" style="197" customWidth="1"/>
    <col min="5126" max="5126" width="23.109375" style="197" customWidth="1"/>
    <col min="5127" max="5376" width="9" style="197"/>
    <col min="5377" max="5377" width="3.88671875" style="197" customWidth="1"/>
    <col min="5378" max="5378" width="18.6640625" style="197" customWidth="1"/>
    <col min="5379" max="5381" width="15.6640625" style="197" customWidth="1"/>
    <col min="5382" max="5382" width="23.109375" style="197" customWidth="1"/>
    <col min="5383" max="5632" width="9" style="197"/>
    <col min="5633" max="5633" width="3.88671875" style="197" customWidth="1"/>
    <col min="5634" max="5634" width="18.6640625" style="197" customWidth="1"/>
    <col min="5635" max="5637" width="15.6640625" style="197" customWidth="1"/>
    <col min="5638" max="5638" width="23.109375" style="197" customWidth="1"/>
    <col min="5639" max="5888" width="9" style="197"/>
    <col min="5889" max="5889" width="3.88671875" style="197" customWidth="1"/>
    <col min="5890" max="5890" width="18.6640625" style="197" customWidth="1"/>
    <col min="5891" max="5893" width="15.6640625" style="197" customWidth="1"/>
    <col min="5894" max="5894" width="23.109375" style="197" customWidth="1"/>
    <col min="5895" max="6144" width="9" style="197"/>
    <col min="6145" max="6145" width="3.88671875" style="197" customWidth="1"/>
    <col min="6146" max="6146" width="18.6640625" style="197" customWidth="1"/>
    <col min="6147" max="6149" width="15.6640625" style="197" customWidth="1"/>
    <col min="6150" max="6150" width="23.109375" style="197" customWidth="1"/>
    <col min="6151" max="6400" width="9" style="197"/>
    <col min="6401" max="6401" width="3.88671875" style="197" customWidth="1"/>
    <col min="6402" max="6402" width="18.6640625" style="197" customWidth="1"/>
    <col min="6403" max="6405" width="15.6640625" style="197" customWidth="1"/>
    <col min="6406" max="6406" width="23.109375" style="197" customWidth="1"/>
    <col min="6407" max="6656" width="9" style="197"/>
    <col min="6657" max="6657" width="3.88671875" style="197" customWidth="1"/>
    <col min="6658" max="6658" width="18.6640625" style="197" customWidth="1"/>
    <col min="6659" max="6661" width="15.6640625" style="197" customWidth="1"/>
    <col min="6662" max="6662" width="23.109375" style="197" customWidth="1"/>
    <col min="6663" max="6912" width="9" style="197"/>
    <col min="6913" max="6913" width="3.88671875" style="197" customWidth="1"/>
    <col min="6914" max="6914" width="18.6640625" style="197" customWidth="1"/>
    <col min="6915" max="6917" width="15.6640625" style="197" customWidth="1"/>
    <col min="6918" max="6918" width="23.109375" style="197" customWidth="1"/>
    <col min="6919" max="7168" width="9" style="197"/>
    <col min="7169" max="7169" width="3.88671875" style="197" customWidth="1"/>
    <col min="7170" max="7170" width="18.6640625" style="197" customWidth="1"/>
    <col min="7171" max="7173" width="15.6640625" style="197" customWidth="1"/>
    <col min="7174" max="7174" width="23.109375" style="197" customWidth="1"/>
    <col min="7175" max="7424" width="9" style="197"/>
    <col min="7425" max="7425" width="3.88671875" style="197" customWidth="1"/>
    <col min="7426" max="7426" width="18.6640625" style="197" customWidth="1"/>
    <col min="7427" max="7429" width="15.6640625" style="197" customWidth="1"/>
    <col min="7430" max="7430" width="23.109375" style="197" customWidth="1"/>
    <col min="7431" max="7680" width="9" style="197"/>
    <col min="7681" max="7681" width="3.88671875" style="197" customWidth="1"/>
    <col min="7682" max="7682" width="18.6640625" style="197" customWidth="1"/>
    <col min="7683" max="7685" width="15.6640625" style="197" customWidth="1"/>
    <col min="7686" max="7686" width="23.109375" style="197" customWidth="1"/>
    <col min="7687" max="7936" width="9" style="197"/>
    <col min="7937" max="7937" width="3.88671875" style="197" customWidth="1"/>
    <col min="7938" max="7938" width="18.6640625" style="197" customWidth="1"/>
    <col min="7939" max="7941" width="15.6640625" style="197" customWidth="1"/>
    <col min="7942" max="7942" width="23.109375" style="197" customWidth="1"/>
    <col min="7943" max="8192" width="9" style="197"/>
    <col min="8193" max="8193" width="3.88671875" style="197" customWidth="1"/>
    <col min="8194" max="8194" width="18.6640625" style="197" customWidth="1"/>
    <col min="8195" max="8197" width="15.6640625" style="197" customWidth="1"/>
    <col min="8198" max="8198" width="23.109375" style="197" customWidth="1"/>
    <col min="8199" max="8448" width="9" style="197"/>
    <col min="8449" max="8449" width="3.88671875" style="197" customWidth="1"/>
    <col min="8450" max="8450" width="18.6640625" style="197" customWidth="1"/>
    <col min="8451" max="8453" width="15.6640625" style="197" customWidth="1"/>
    <col min="8454" max="8454" width="23.109375" style="197" customWidth="1"/>
    <col min="8455" max="8704" width="9" style="197"/>
    <col min="8705" max="8705" width="3.88671875" style="197" customWidth="1"/>
    <col min="8706" max="8706" width="18.6640625" style="197" customWidth="1"/>
    <col min="8707" max="8709" width="15.6640625" style="197" customWidth="1"/>
    <col min="8710" max="8710" width="23.109375" style="197" customWidth="1"/>
    <col min="8711" max="8960" width="9" style="197"/>
    <col min="8961" max="8961" width="3.88671875" style="197" customWidth="1"/>
    <col min="8962" max="8962" width="18.6640625" style="197" customWidth="1"/>
    <col min="8963" max="8965" width="15.6640625" style="197" customWidth="1"/>
    <col min="8966" max="8966" width="23.109375" style="197" customWidth="1"/>
    <col min="8967" max="9216" width="9" style="197"/>
    <col min="9217" max="9217" width="3.88671875" style="197" customWidth="1"/>
    <col min="9218" max="9218" width="18.6640625" style="197" customWidth="1"/>
    <col min="9219" max="9221" width="15.6640625" style="197" customWidth="1"/>
    <col min="9222" max="9222" width="23.109375" style="197" customWidth="1"/>
    <col min="9223" max="9472" width="9" style="197"/>
    <col min="9473" max="9473" width="3.88671875" style="197" customWidth="1"/>
    <col min="9474" max="9474" width="18.6640625" style="197" customWidth="1"/>
    <col min="9475" max="9477" width="15.6640625" style="197" customWidth="1"/>
    <col min="9478" max="9478" width="23.109375" style="197" customWidth="1"/>
    <col min="9479" max="9728" width="9" style="197"/>
    <col min="9729" max="9729" width="3.88671875" style="197" customWidth="1"/>
    <col min="9730" max="9730" width="18.6640625" style="197" customWidth="1"/>
    <col min="9731" max="9733" width="15.6640625" style="197" customWidth="1"/>
    <col min="9734" max="9734" width="23.109375" style="197" customWidth="1"/>
    <col min="9735" max="9984" width="9" style="197"/>
    <col min="9985" max="9985" width="3.88671875" style="197" customWidth="1"/>
    <col min="9986" max="9986" width="18.6640625" style="197" customWidth="1"/>
    <col min="9987" max="9989" width="15.6640625" style="197" customWidth="1"/>
    <col min="9990" max="9990" width="23.109375" style="197" customWidth="1"/>
    <col min="9991" max="10240" width="9" style="197"/>
    <col min="10241" max="10241" width="3.88671875" style="197" customWidth="1"/>
    <col min="10242" max="10242" width="18.6640625" style="197" customWidth="1"/>
    <col min="10243" max="10245" width="15.6640625" style="197" customWidth="1"/>
    <col min="10246" max="10246" width="23.109375" style="197" customWidth="1"/>
    <col min="10247" max="10496" width="9" style="197"/>
    <col min="10497" max="10497" width="3.88671875" style="197" customWidth="1"/>
    <col min="10498" max="10498" width="18.6640625" style="197" customWidth="1"/>
    <col min="10499" max="10501" width="15.6640625" style="197" customWidth="1"/>
    <col min="10502" max="10502" width="23.109375" style="197" customWidth="1"/>
    <col min="10503" max="10752" width="9" style="197"/>
    <col min="10753" max="10753" width="3.88671875" style="197" customWidth="1"/>
    <col min="10754" max="10754" width="18.6640625" style="197" customWidth="1"/>
    <col min="10755" max="10757" width="15.6640625" style="197" customWidth="1"/>
    <col min="10758" max="10758" width="23.109375" style="197" customWidth="1"/>
    <col min="10759" max="11008" width="9" style="197"/>
    <col min="11009" max="11009" width="3.88671875" style="197" customWidth="1"/>
    <col min="11010" max="11010" width="18.6640625" style="197" customWidth="1"/>
    <col min="11011" max="11013" width="15.6640625" style="197" customWidth="1"/>
    <col min="11014" max="11014" width="23.109375" style="197" customWidth="1"/>
    <col min="11015" max="11264" width="9" style="197"/>
    <col min="11265" max="11265" width="3.88671875" style="197" customWidth="1"/>
    <col min="11266" max="11266" width="18.6640625" style="197" customWidth="1"/>
    <col min="11267" max="11269" width="15.6640625" style="197" customWidth="1"/>
    <col min="11270" max="11270" width="23.109375" style="197" customWidth="1"/>
    <col min="11271" max="11520" width="9" style="197"/>
    <col min="11521" max="11521" width="3.88671875" style="197" customWidth="1"/>
    <col min="11522" max="11522" width="18.6640625" style="197" customWidth="1"/>
    <col min="11523" max="11525" width="15.6640625" style="197" customWidth="1"/>
    <col min="11526" max="11526" width="23.109375" style="197" customWidth="1"/>
    <col min="11527" max="11776" width="9" style="197"/>
    <col min="11777" max="11777" width="3.88671875" style="197" customWidth="1"/>
    <col min="11778" max="11778" width="18.6640625" style="197" customWidth="1"/>
    <col min="11779" max="11781" width="15.6640625" style="197" customWidth="1"/>
    <col min="11782" max="11782" width="23.109375" style="197" customWidth="1"/>
    <col min="11783" max="12032" width="9" style="197"/>
    <col min="12033" max="12033" width="3.88671875" style="197" customWidth="1"/>
    <col min="12034" max="12034" width="18.6640625" style="197" customWidth="1"/>
    <col min="12035" max="12037" width="15.6640625" style="197" customWidth="1"/>
    <col min="12038" max="12038" width="23.109375" style="197" customWidth="1"/>
    <col min="12039" max="12288" width="9" style="197"/>
    <col min="12289" max="12289" width="3.88671875" style="197" customWidth="1"/>
    <col min="12290" max="12290" width="18.6640625" style="197" customWidth="1"/>
    <col min="12291" max="12293" width="15.6640625" style="197" customWidth="1"/>
    <col min="12294" max="12294" width="23.109375" style="197" customWidth="1"/>
    <col min="12295" max="12544" width="9" style="197"/>
    <col min="12545" max="12545" width="3.88671875" style="197" customWidth="1"/>
    <col min="12546" max="12546" width="18.6640625" style="197" customWidth="1"/>
    <col min="12547" max="12549" width="15.6640625" style="197" customWidth="1"/>
    <col min="12550" max="12550" width="23.109375" style="197" customWidth="1"/>
    <col min="12551" max="12800" width="9" style="197"/>
    <col min="12801" max="12801" width="3.88671875" style="197" customWidth="1"/>
    <col min="12802" max="12802" width="18.6640625" style="197" customWidth="1"/>
    <col min="12803" max="12805" width="15.6640625" style="197" customWidth="1"/>
    <col min="12806" max="12806" width="23.109375" style="197" customWidth="1"/>
    <col min="12807" max="13056" width="9" style="197"/>
    <col min="13057" max="13057" width="3.88671875" style="197" customWidth="1"/>
    <col min="13058" max="13058" width="18.6640625" style="197" customWidth="1"/>
    <col min="13059" max="13061" width="15.6640625" style="197" customWidth="1"/>
    <col min="13062" max="13062" width="23.109375" style="197" customWidth="1"/>
    <col min="13063" max="13312" width="9" style="197"/>
    <col min="13313" max="13313" width="3.88671875" style="197" customWidth="1"/>
    <col min="13314" max="13314" width="18.6640625" style="197" customWidth="1"/>
    <col min="13315" max="13317" width="15.6640625" style="197" customWidth="1"/>
    <col min="13318" max="13318" width="23.109375" style="197" customWidth="1"/>
    <col min="13319" max="13568" width="9" style="197"/>
    <col min="13569" max="13569" width="3.88671875" style="197" customWidth="1"/>
    <col min="13570" max="13570" width="18.6640625" style="197" customWidth="1"/>
    <col min="13571" max="13573" width="15.6640625" style="197" customWidth="1"/>
    <col min="13574" max="13574" width="23.109375" style="197" customWidth="1"/>
    <col min="13575" max="13824" width="9" style="197"/>
    <col min="13825" max="13825" width="3.88671875" style="197" customWidth="1"/>
    <col min="13826" max="13826" width="18.6640625" style="197" customWidth="1"/>
    <col min="13827" max="13829" width="15.6640625" style="197" customWidth="1"/>
    <col min="13830" max="13830" width="23.109375" style="197" customWidth="1"/>
    <col min="13831" max="14080" width="9" style="197"/>
    <col min="14081" max="14081" width="3.88671875" style="197" customWidth="1"/>
    <col min="14082" max="14082" width="18.6640625" style="197" customWidth="1"/>
    <col min="14083" max="14085" width="15.6640625" style="197" customWidth="1"/>
    <col min="14086" max="14086" width="23.109375" style="197" customWidth="1"/>
    <col min="14087" max="14336" width="9" style="197"/>
    <col min="14337" max="14337" width="3.88671875" style="197" customWidth="1"/>
    <col min="14338" max="14338" width="18.6640625" style="197" customWidth="1"/>
    <col min="14339" max="14341" width="15.6640625" style="197" customWidth="1"/>
    <col min="14342" max="14342" width="23.109375" style="197" customWidth="1"/>
    <col min="14343" max="14592" width="9" style="197"/>
    <col min="14593" max="14593" width="3.88671875" style="197" customWidth="1"/>
    <col min="14594" max="14594" width="18.6640625" style="197" customWidth="1"/>
    <col min="14595" max="14597" width="15.6640625" style="197" customWidth="1"/>
    <col min="14598" max="14598" width="23.109375" style="197" customWidth="1"/>
    <col min="14599" max="14848" width="9" style="197"/>
    <col min="14849" max="14849" width="3.88671875" style="197" customWidth="1"/>
    <col min="14850" max="14850" width="18.6640625" style="197" customWidth="1"/>
    <col min="14851" max="14853" width="15.6640625" style="197" customWidth="1"/>
    <col min="14854" max="14854" width="23.109375" style="197" customWidth="1"/>
    <col min="14855" max="15104" width="9" style="197"/>
    <col min="15105" max="15105" width="3.88671875" style="197" customWidth="1"/>
    <col min="15106" max="15106" width="18.6640625" style="197" customWidth="1"/>
    <col min="15107" max="15109" width="15.6640625" style="197" customWidth="1"/>
    <col min="15110" max="15110" width="23.109375" style="197" customWidth="1"/>
    <col min="15111" max="15360" width="9" style="197"/>
    <col min="15361" max="15361" width="3.88671875" style="197" customWidth="1"/>
    <col min="15362" max="15362" width="18.6640625" style="197" customWidth="1"/>
    <col min="15363" max="15365" width="15.6640625" style="197" customWidth="1"/>
    <col min="15366" max="15366" width="23.109375" style="197" customWidth="1"/>
    <col min="15367" max="15616" width="9" style="197"/>
    <col min="15617" max="15617" width="3.88671875" style="197" customWidth="1"/>
    <col min="15618" max="15618" width="18.6640625" style="197" customWidth="1"/>
    <col min="15619" max="15621" width="15.6640625" style="197" customWidth="1"/>
    <col min="15622" max="15622" width="23.109375" style="197" customWidth="1"/>
    <col min="15623" max="15872" width="9" style="197"/>
    <col min="15873" max="15873" width="3.88671875" style="197" customWidth="1"/>
    <col min="15874" max="15874" width="18.6640625" style="197" customWidth="1"/>
    <col min="15875" max="15877" width="15.6640625" style="197" customWidth="1"/>
    <col min="15878" max="15878" width="23.109375" style="197" customWidth="1"/>
    <col min="15879" max="16128" width="9" style="197"/>
    <col min="16129" max="16129" width="3.88671875" style="197" customWidth="1"/>
    <col min="16130" max="16130" width="18.6640625" style="197" customWidth="1"/>
    <col min="16131" max="16133" width="15.6640625" style="197" customWidth="1"/>
    <col min="16134" max="16134" width="23.109375" style="197" customWidth="1"/>
    <col min="16135" max="16384" width="9" style="197"/>
  </cols>
  <sheetData>
    <row r="1" spans="1:6" x14ac:dyDescent="0.2">
      <c r="A1" s="196" t="s">
        <v>217</v>
      </c>
      <c r="B1" s="196"/>
      <c r="C1" s="196"/>
      <c r="D1" s="196"/>
      <c r="E1" s="196"/>
      <c r="F1" s="196"/>
    </row>
    <row r="2" spans="1:6" ht="19.2" x14ac:dyDescent="0.2">
      <c r="A2" s="198" t="s">
        <v>218</v>
      </c>
      <c r="B2" s="198"/>
      <c r="C2" s="198"/>
      <c r="D2" s="198"/>
      <c r="E2" s="198"/>
      <c r="F2" s="198"/>
    </row>
    <row r="3" spans="1:6" ht="10.5" customHeight="1" x14ac:dyDescent="0.2">
      <c r="A3" s="199"/>
      <c r="B3" s="199"/>
      <c r="C3" s="199"/>
      <c r="D3" s="199"/>
      <c r="E3" s="199"/>
      <c r="F3" s="199"/>
    </row>
    <row r="4" spans="1:6" ht="19.2" x14ac:dyDescent="0.2">
      <c r="A4" s="199"/>
      <c r="B4" s="200" t="s">
        <v>226</v>
      </c>
      <c r="C4" s="200"/>
      <c r="D4" s="200"/>
      <c r="E4" s="200"/>
      <c r="F4" s="200"/>
    </row>
    <row r="5" spans="1:6" ht="13.8" thickBot="1" x14ac:dyDescent="0.25">
      <c r="A5" s="201" t="s">
        <v>136</v>
      </c>
      <c r="B5" s="201"/>
      <c r="C5" s="201"/>
      <c r="D5" s="201"/>
      <c r="E5" s="201"/>
      <c r="F5" s="201"/>
    </row>
    <row r="6" spans="1:6" ht="19.5" customHeight="1" x14ac:dyDescent="0.2">
      <c r="A6" s="202" t="s">
        <v>219</v>
      </c>
      <c r="B6" s="203"/>
      <c r="C6" s="204" t="s">
        <v>137</v>
      </c>
      <c r="D6" s="204" t="s">
        <v>220</v>
      </c>
      <c r="E6" s="204" t="s">
        <v>221</v>
      </c>
      <c r="F6" s="205" t="s">
        <v>138</v>
      </c>
    </row>
    <row r="7" spans="1:6" ht="19.5" customHeight="1" x14ac:dyDescent="0.2">
      <c r="A7" s="206" t="s">
        <v>139</v>
      </c>
      <c r="B7" s="184"/>
      <c r="C7" s="207"/>
      <c r="D7" s="207"/>
      <c r="E7" s="208"/>
      <c r="F7" s="209"/>
    </row>
    <row r="8" spans="1:6" ht="19.5" customHeight="1" x14ac:dyDescent="0.2">
      <c r="A8" s="210">
        <v>1</v>
      </c>
      <c r="B8" s="211" t="s">
        <v>140</v>
      </c>
      <c r="C8" s="212"/>
      <c r="D8" s="212"/>
      <c r="E8" s="212">
        <f t="shared" ref="E8:E15" si="0">C8-D8</f>
        <v>0</v>
      </c>
      <c r="F8" s="213"/>
    </row>
    <row r="9" spans="1:6" ht="19.5" customHeight="1" x14ac:dyDescent="0.2">
      <c r="A9" s="210">
        <v>2</v>
      </c>
      <c r="B9" s="211" t="s">
        <v>141</v>
      </c>
      <c r="C9" s="212"/>
      <c r="D9" s="212"/>
      <c r="E9" s="212">
        <f t="shared" si="0"/>
        <v>0</v>
      </c>
      <c r="F9" s="213"/>
    </row>
    <row r="10" spans="1:6" ht="19.5" customHeight="1" x14ac:dyDescent="0.2">
      <c r="A10" s="210">
        <v>3</v>
      </c>
      <c r="B10" s="211" t="s">
        <v>142</v>
      </c>
      <c r="C10" s="212"/>
      <c r="D10" s="212"/>
      <c r="E10" s="212">
        <f t="shared" si="0"/>
        <v>0</v>
      </c>
      <c r="F10" s="213"/>
    </row>
    <row r="11" spans="1:6" ht="19.5" customHeight="1" x14ac:dyDescent="0.2">
      <c r="A11" s="210">
        <v>4</v>
      </c>
      <c r="B11" s="211" t="s">
        <v>143</v>
      </c>
      <c r="C11" s="212"/>
      <c r="D11" s="212"/>
      <c r="E11" s="212">
        <f t="shared" si="0"/>
        <v>0</v>
      </c>
      <c r="F11" s="213"/>
    </row>
    <row r="12" spans="1:6" ht="19.5" customHeight="1" x14ac:dyDescent="0.2">
      <c r="A12" s="210">
        <v>5</v>
      </c>
      <c r="B12" s="211" t="s">
        <v>144</v>
      </c>
      <c r="C12" s="212"/>
      <c r="D12" s="212"/>
      <c r="E12" s="212">
        <f t="shared" si="0"/>
        <v>0</v>
      </c>
      <c r="F12" s="213"/>
    </row>
    <row r="13" spans="1:6" ht="19.5" customHeight="1" x14ac:dyDescent="0.2">
      <c r="A13" s="210">
        <v>6</v>
      </c>
      <c r="B13" s="211" t="s">
        <v>145</v>
      </c>
      <c r="C13" s="212"/>
      <c r="D13" s="212"/>
      <c r="E13" s="212">
        <f t="shared" si="0"/>
        <v>0</v>
      </c>
      <c r="F13" s="213"/>
    </row>
    <row r="14" spans="1:6" ht="19.5" customHeight="1" x14ac:dyDescent="0.2">
      <c r="A14" s="210">
        <v>7</v>
      </c>
      <c r="B14" s="211" t="s">
        <v>146</v>
      </c>
      <c r="C14" s="212">
        <v>111630</v>
      </c>
      <c r="D14" s="212">
        <v>111630</v>
      </c>
      <c r="E14" s="212">
        <f t="shared" si="0"/>
        <v>0</v>
      </c>
      <c r="F14" s="213"/>
    </row>
    <row r="15" spans="1:6" ht="19.5" customHeight="1" x14ac:dyDescent="0.2">
      <c r="A15" s="210">
        <v>8</v>
      </c>
      <c r="B15" s="211" t="s">
        <v>147</v>
      </c>
      <c r="C15" s="212"/>
      <c r="D15" s="212"/>
      <c r="E15" s="212">
        <f t="shared" si="0"/>
        <v>0</v>
      </c>
      <c r="F15" s="213"/>
    </row>
    <row r="16" spans="1:6" ht="19.5" customHeight="1" x14ac:dyDescent="0.2">
      <c r="A16" s="206" t="s">
        <v>222</v>
      </c>
      <c r="B16" s="214"/>
      <c r="C16" s="215">
        <f>SUM(C8:C15)</f>
        <v>111630</v>
      </c>
      <c r="D16" s="215">
        <f>SUM(D8:D15)</f>
        <v>111630</v>
      </c>
      <c r="E16" s="215">
        <f>SUM(E8:E15)</f>
        <v>0</v>
      </c>
      <c r="F16" s="216"/>
    </row>
    <row r="17" spans="1:6" ht="19.5" customHeight="1" x14ac:dyDescent="0.2">
      <c r="A17" s="206" t="s">
        <v>223</v>
      </c>
      <c r="B17" s="184"/>
      <c r="C17" s="207"/>
      <c r="D17" s="207"/>
      <c r="E17" s="207"/>
      <c r="F17" s="209"/>
    </row>
    <row r="18" spans="1:6" ht="19.5" customHeight="1" x14ac:dyDescent="0.2">
      <c r="A18" s="210">
        <v>1</v>
      </c>
      <c r="B18" s="211" t="s">
        <v>149</v>
      </c>
      <c r="C18" s="242">
        <v>46948</v>
      </c>
      <c r="D18" s="242">
        <v>46948</v>
      </c>
      <c r="E18" s="212">
        <f t="shared" ref="E18:E30" si="1">C18-D18</f>
        <v>0</v>
      </c>
      <c r="F18" s="213"/>
    </row>
    <row r="19" spans="1:6" ht="19.5" customHeight="1" x14ac:dyDescent="0.2">
      <c r="A19" s="210">
        <v>2</v>
      </c>
      <c r="B19" s="211" t="s">
        <v>151</v>
      </c>
      <c r="C19" s="212">
        <v>36050</v>
      </c>
      <c r="D19" s="212">
        <v>36050</v>
      </c>
      <c r="E19" s="212">
        <f t="shared" si="1"/>
        <v>0</v>
      </c>
      <c r="F19" s="213"/>
    </row>
    <row r="20" spans="1:6" ht="19.5" customHeight="1" x14ac:dyDescent="0.2">
      <c r="A20" s="210">
        <v>3</v>
      </c>
      <c r="B20" s="211" t="s">
        <v>152</v>
      </c>
      <c r="C20" s="212"/>
      <c r="D20" s="212"/>
      <c r="E20" s="212">
        <f t="shared" si="1"/>
        <v>0</v>
      </c>
      <c r="F20" s="213"/>
    </row>
    <row r="21" spans="1:6" ht="19.5" customHeight="1" x14ac:dyDescent="0.2">
      <c r="A21" s="210">
        <v>4</v>
      </c>
      <c r="B21" s="211" t="s">
        <v>153</v>
      </c>
      <c r="C21" s="212"/>
      <c r="D21" s="212"/>
      <c r="E21" s="212">
        <f t="shared" si="1"/>
        <v>0</v>
      </c>
      <c r="F21" s="213"/>
    </row>
    <row r="22" spans="1:6" ht="19.5" customHeight="1" x14ac:dyDescent="0.2">
      <c r="A22" s="217">
        <v>5</v>
      </c>
      <c r="B22" s="211" t="s">
        <v>154</v>
      </c>
      <c r="C22" s="212"/>
      <c r="D22" s="212"/>
      <c r="E22" s="212">
        <f t="shared" si="1"/>
        <v>0</v>
      </c>
      <c r="F22" s="213"/>
    </row>
    <row r="23" spans="1:6" ht="19.5" customHeight="1" x14ac:dyDescent="0.2">
      <c r="A23" s="217">
        <v>6</v>
      </c>
      <c r="B23" s="211" t="s">
        <v>155</v>
      </c>
      <c r="C23" s="212"/>
      <c r="D23" s="212"/>
      <c r="E23" s="212">
        <f t="shared" si="1"/>
        <v>0</v>
      </c>
      <c r="F23" s="213"/>
    </row>
    <row r="24" spans="1:6" ht="19.5" customHeight="1" x14ac:dyDescent="0.2">
      <c r="A24" s="217">
        <v>7</v>
      </c>
      <c r="B24" s="211" t="s">
        <v>156</v>
      </c>
      <c r="C24" s="212"/>
      <c r="D24" s="212"/>
      <c r="E24" s="212">
        <f t="shared" si="1"/>
        <v>0</v>
      </c>
      <c r="F24" s="213"/>
    </row>
    <row r="25" spans="1:6" ht="19.5" customHeight="1" x14ac:dyDescent="0.2">
      <c r="A25" s="217">
        <v>8</v>
      </c>
      <c r="B25" s="211" t="s">
        <v>157</v>
      </c>
      <c r="C25" s="212"/>
      <c r="D25" s="212"/>
      <c r="E25" s="212">
        <f t="shared" si="1"/>
        <v>0</v>
      </c>
      <c r="F25" s="213"/>
    </row>
    <row r="26" spans="1:6" ht="19.5" customHeight="1" x14ac:dyDescent="0.2">
      <c r="A26" s="217">
        <v>9</v>
      </c>
      <c r="B26" s="211" t="s">
        <v>158</v>
      </c>
      <c r="C26" s="212"/>
      <c r="D26" s="212"/>
      <c r="E26" s="212">
        <f t="shared" si="1"/>
        <v>0</v>
      </c>
      <c r="F26" s="213"/>
    </row>
    <row r="27" spans="1:6" ht="19.5" customHeight="1" x14ac:dyDescent="0.2">
      <c r="A27" s="217">
        <v>10</v>
      </c>
      <c r="B27" s="211" t="s">
        <v>159</v>
      </c>
      <c r="C27" s="212"/>
      <c r="D27" s="212"/>
      <c r="E27" s="212">
        <f t="shared" si="1"/>
        <v>0</v>
      </c>
      <c r="F27" s="213"/>
    </row>
    <row r="28" spans="1:6" ht="19.5" customHeight="1" x14ac:dyDescent="0.2">
      <c r="A28" s="217">
        <v>11</v>
      </c>
      <c r="B28" s="211" t="s">
        <v>160</v>
      </c>
      <c r="C28" s="212"/>
      <c r="D28" s="212"/>
      <c r="E28" s="212">
        <f t="shared" si="1"/>
        <v>0</v>
      </c>
      <c r="F28" s="213"/>
    </row>
    <row r="29" spans="1:6" ht="19.5" customHeight="1" x14ac:dyDescent="0.2">
      <c r="A29" s="217">
        <v>12</v>
      </c>
      <c r="B29" s="211" t="s">
        <v>161</v>
      </c>
      <c r="C29" s="212">
        <v>28632</v>
      </c>
      <c r="D29" s="212">
        <v>28632</v>
      </c>
      <c r="E29" s="212">
        <f t="shared" si="1"/>
        <v>0</v>
      </c>
      <c r="F29" s="213"/>
    </row>
    <row r="30" spans="1:6" ht="19.5" customHeight="1" x14ac:dyDescent="0.2">
      <c r="A30" s="217">
        <v>13</v>
      </c>
      <c r="B30" s="211" t="s">
        <v>162</v>
      </c>
      <c r="C30" s="212"/>
      <c r="D30" s="212"/>
      <c r="E30" s="212">
        <f t="shared" si="1"/>
        <v>0</v>
      </c>
      <c r="F30" s="213"/>
    </row>
    <row r="31" spans="1:6" ht="19.5" customHeight="1" x14ac:dyDescent="0.2">
      <c r="A31" s="217">
        <v>14</v>
      </c>
      <c r="B31" s="211" t="s">
        <v>163</v>
      </c>
      <c r="C31" s="212"/>
      <c r="D31" s="212"/>
      <c r="E31" s="212">
        <f>C31</f>
        <v>0</v>
      </c>
      <c r="F31" s="213"/>
    </row>
    <row r="32" spans="1:6" ht="19.5" customHeight="1" x14ac:dyDescent="0.2">
      <c r="A32" s="206" t="s">
        <v>224</v>
      </c>
      <c r="B32" s="214"/>
      <c r="C32" s="212">
        <f>SUM(C18:C31)</f>
        <v>111630</v>
      </c>
      <c r="D32" s="212">
        <f>SUM(D18:D31)</f>
        <v>111630</v>
      </c>
      <c r="E32" s="212">
        <f>SUM(E18:E31)</f>
        <v>0</v>
      </c>
      <c r="F32" s="213"/>
    </row>
    <row r="33" spans="1:6" ht="19.5" customHeight="1" thickBot="1" x14ac:dyDescent="0.25">
      <c r="A33" s="219" t="s">
        <v>225</v>
      </c>
      <c r="B33" s="220"/>
      <c r="C33" s="221"/>
      <c r="D33" s="222">
        <f>D16-D32</f>
        <v>0</v>
      </c>
      <c r="E33" s="221"/>
      <c r="F33" s="223"/>
    </row>
    <row r="34" spans="1:6" x14ac:dyDescent="0.2">
      <c r="A34" s="224"/>
      <c r="B34" s="224"/>
      <c r="C34" s="224"/>
      <c r="D34" s="224"/>
      <c r="E34" s="224"/>
      <c r="F34" s="224"/>
    </row>
    <row r="35" spans="1:6" ht="18" customHeight="1" x14ac:dyDescent="0.2">
      <c r="A35" s="225"/>
      <c r="B35" s="226" t="s">
        <v>227</v>
      </c>
      <c r="C35" s="226"/>
      <c r="D35" s="226"/>
      <c r="E35" s="226"/>
      <c r="F35" s="226"/>
    </row>
    <row r="36" spans="1:6" ht="17.25" customHeight="1" x14ac:dyDescent="0.2">
      <c r="A36" s="225"/>
      <c r="B36" s="226"/>
      <c r="C36" s="226"/>
      <c r="D36" s="226"/>
      <c r="E36" s="226"/>
      <c r="F36" s="226"/>
    </row>
  </sheetData>
  <mergeCells count="14">
    <mergeCell ref="A33:B33"/>
    <mergeCell ref="A34:F34"/>
    <mergeCell ref="A35:A36"/>
    <mergeCell ref="B35:F35"/>
    <mergeCell ref="B36:F36"/>
    <mergeCell ref="A6:B6"/>
    <mergeCell ref="A7:B7"/>
    <mergeCell ref="A16:B16"/>
    <mergeCell ref="A17:B17"/>
    <mergeCell ref="A32:B32"/>
    <mergeCell ref="A1:F1"/>
    <mergeCell ref="A2:F2"/>
    <mergeCell ref="B4:F4"/>
    <mergeCell ref="A5:F5"/>
  </mergeCells>
  <phoneticPr fontId="18"/>
  <printOptions horizontalCentered="1"/>
  <pageMargins left="0.35" right="0.51" top="0.98" bottom="0.98" header="0.51" footer="0.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2F5F-AD68-475D-BDE3-BEFE8052AEE2}">
  <dimension ref="A1:K35"/>
  <sheetViews>
    <sheetView showGridLines="0" topLeftCell="A16" zoomScale="85" zoomScaleNormal="85" workbookViewId="0">
      <selection activeCell="G19" sqref="G19"/>
    </sheetView>
  </sheetViews>
  <sheetFormatPr defaultColWidth="9" defaultRowHeight="13.2" x14ac:dyDescent="0.2"/>
  <cols>
    <col min="1" max="1" width="1.6640625" style="197" customWidth="1"/>
    <col min="2" max="2" width="3.6640625" style="197" customWidth="1"/>
    <col min="3" max="3" width="1.6640625" style="197" customWidth="1"/>
    <col min="4" max="4" width="18.6640625" style="197" customWidth="1"/>
    <col min="5" max="5" width="11.6640625" style="197" customWidth="1"/>
    <col min="6" max="6" width="24.88671875" style="197" customWidth="1"/>
    <col min="7" max="9" width="12.88671875" style="197" customWidth="1"/>
    <col min="10" max="10" width="4.109375" style="197" customWidth="1"/>
    <col min="11" max="256" width="9" style="197"/>
    <col min="257" max="257" width="1.6640625" style="197" customWidth="1"/>
    <col min="258" max="258" width="3.6640625" style="197" customWidth="1"/>
    <col min="259" max="259" width="1.6640625" style="197" customWidth="1"/>
    <col min="260" max="260" width="18.6640625" style="197" customWidth="1"/>
    <col min="261" max="261" width="11.6640625" style="197" customWidth="1"/>
    <col min="262" max="262" width="24.88671875" style="197" customWidth="1"/>
    <col min="263" max="265" width="12.88671875" style="197" customWidth="1"/>
    <col min="266" max="266" width="4.109375" style="197" customWidth="1"/>
    <col min="267" max="512" width="9" style="197"/>
    <col min="513" max="513" width="1.6640625" style="197" customWidth="1"/>
    <col min="514" max="514" width="3.6640625" style="197" customWidth="1"/>
    <col min="515" max="515" width="1.6640625" style="197" customWidth="1"/>
    <col min="516" max="516" width="18.6640625" style="197" customWidth="1"/>
    <col min="517" max="517" width="11.6640625" style="197" customWidth="1"/>
    <col min="518" max="518" width="24.88671875" style="197" customWidth="1"/>
    <col min="519" max="521" width="12.88671875" style="197" customWidth="1"/>
    <col min="522" max="522" width="4.109375" style="197" customWidth="1"/>
    <col min="523" max="768" width="9" style="197"/>
    <col min="769" max="769" width="1.6640625" style="197" customWidth="1"/>
    <col min="770" max="770" width="3.6640625" style="197" customWidth="1"/>
    <col min="771" max="771" width="1.6640625" style="197" customWidth="1"/>
    <col min="772" max="772" width="18.6640625" style="197" customWidth="1"/>
    <col min="773" max="773" width="11.6640625" style="197" customWidth="1"/>
    <col min="774" max="774" width="24.88671875" style="197" customWidth="1"/>
    <col min="775" max="777" width="12.88671875" style="197" customWidth="1"/>
    <col min="778" max="778" width="4.109375" style="197" customWidth="1"/>
    <col min="779" max="1024" width="9" style="197"/>
    <col min="1025" max="1025" width="1.6640625" style="197" customWidth="1"/>
    <col min="1026" max="1026" width="3.6640625" style="197" customWidth="1"/>
    <col min="1027" max="1027" width="1.6640625" style="197" customWidth="1"/>
    <col min="1028" max="1028" width="18.6640625" style="197" customWidth="1"/>
    <col min="1029" max="1029" width="11.6640625" style="197" customWidth="1"/>
    <col min="1030" max="1030" width="24.88671875" style="197" customWidth="1"/>
    <col min="1031" max="1033" width="12.88671875" style="197" customWidth="1"/>
    <col min="1034" max="1034" width="4.109375" style="197" customWidth="1"/>
    <col min="1035" max="1280" width="9" style="197"/>
    <col min="1281" max="1281" width="1.6640625" style="197" customWidth="1"/>
    <col min="1282" max="1282" width="3.6640625" style="197" customWidth="1"/>
    <col min="1283" max="1283" width="1.6640625" style="197" customWidth="1"/>
    <col min="1284" max="1284" width="18.6640625" style="197" customWidth="1"/>
    <col min="1285" max="1285" width="11.6640625" style="197" customWidth="1"/>
    <col min="1286" max="1286" width="24.88671875" style="197" customWidth="1"/>
    <col min="1287" max="1289" width="12.88671875" style="197" customWidth="1"/>
    <col min="1290" max="1290" width="4.109375" style="197" customWidth="1"/>
    <col min="1291" max="1536" width="9" style="197"/>
    <col min="1537" max="1537" width="1.6640625" style="197" customWidth="1"/>
    <col min="1538" max="1538" width="3.6640625" style="197" customWidth="1"/>
    <col min="1539" max="1539" width="1.6640625" style="197" customWidth="1"/>
    <col min="1540" max="1540" width="18.6640625" style="197" customWidth="1"/>
    <col min="1541" max="1541" width="11.6640625" style="197" customWidth="1"/>
    <col min="1542" max="1542" width="24.88671875" style="197" customWidth="1"/>
    <col min="1543" max="1545" width="12.88671875" style="197" customWidth="1"/>
    <col min="1546" max="1546" width="4.109375" style="197" customWidth="1"/>
    <col min="1547" max="1792" width="9" style="197"/>
    <col min="1793" max="1793" width="1.6640625" style="197" customWidth="1"/>
    <col min="1794" max="1794" width="3.6640625" style="197" customWidth="1"/>
    <col min="1795" max="1795" width="1.6640625" style="197" customWidth="1"/>
    <col min="1796" max="1796" width="18.6640625" style="197" customWidth="1"/>
    <col min="1797" max="1797" width="11.6640625" style="197" customWidth="1"/>
    <col min="1798" max="1798" width="24.88671875" style="197" customWidth="1"/>
    <col min="1799" max="1801" width="12.88671875" style="197" customWidth="1"/>
    <col min="1802" max="1802" width="4.109375" style="197" customWidth="1"/>
    <col min="1803" max="2048" width="9" style="197"/>
    <col min="2049" max="2049" width="1.6640625" style="197" customWidth="1"/>
    <col min="2050" max="2050" width="3.6640625" style="197" customWidth="1"/>
    <col min="2051" max="2051" width="1.6640625" style="197" customWidth="1"/>
    <col min="2052" max="2052" width="18.6640625" style="197" customWidth="1"/>
    <col min="2053" max="2053" width="11.6640625" style="197" customWidth="1"/>
    <col min="2054" max="2054" width="24.88671875" style="197" customWidth="1"/>
    <col min="2055" max="2057" width="12.88671875" style="197" customWidth="1"/>
    <col min="2058" max="2058" width="4.109375" style="197" customWidth="1"/>
    <col min="2059" max="2304" width="9" style="197"/>
    <col min="2305" max="2305" width="1.6640625" style="197" customWidth="1"/>
    <col min="2306" max="2306" width="3.6640625" style="197" customWidth="1"/>
    <col min="2307" max="2307" width="1.6640625" style="197" customWidth="1"/>
    <col min="2308" max="2308" width="18.6640625" style="197" customWidth="1"/>
    <col min="2309" max="2309" width="11.6640625" style="197" customWidth="1"/>
    <col min="2310" max="2310" width="24.88671875" style="197" customWidth="1"/>
    <col min="2311" max="2313" width="12.88671875" style="197" customWidth="1"/>
    <col min="2314" max="2314" width="4.109375" style="197" customWidth="1"/>
    <col min="2315" max="2560" width="9" style="197"/>
    <col min="2561" max="2561" width="1.6640625" style="197" customWidth="1"/>
    <col min="2562" max="2562" width="3.6640625" style="197" customWidth="1"/>
    <col min="2563" max="2563" width="1.6640625" style="197" customWidth="1"/>
    <col min="2564" max="2564" width="18.6640625" style="197" customWidth="1"/>
    <col min="2565" max="2565" width="11.6640625" style="197" customWidth="1"/>
    <col min="2566" max="2566" width="24.88671875" style="197" customWidth="1"/>
    <col min="2567" max="2569" width="12.88671875" style="197" customWidth="1"/>
    <col min="2570" max="2570" width="4.109375" style="197" customWidth="1"/>
    <col min="2571" max="2816" width="9" style="197"/>
    <col min="2817" max="2817" width="1.6640625" style="197" customWidth="1"/>
    <col min="2818" max="2818" width="3.6640625" style="197" customWidth="1"/>
    <col min="2819" max="2819" width="1.6640625" style="197" customWidth="1"/>
    <col min="2820" max="2820" width="18.6640625" style="197" customWidth="1"/>
    <col min="2821" max="2821" width="11.6640625" style="197" customWidth="1"/>
    <col min="2822" max="2822" width="24.88671875" style="197" customWidth="1"/>
    <col min="2823" max="2825" width="12.88671875" style="197" customWidth="1"/>
    <col min="2826" max="2826" width="4.109375" style="197" customWidth="1"/>
    <col min="2827" max="3072" width="9" style="197"/>
    <col min="3073" max="3073" width="1.6640625" style="197" customWidth="1"/>
    <col min="3074" max="3074" width="3.6640625" style="197" customWidth="1"/>
    <col min="3075" max="3075" width="1.6640625" style="197" customWidth="1"/>
    <col min="3076" max="3076" width="18.6640625" style="197" customWidth="1"/>
    <col min="3077" max="3077" width="11.6640625" style="197" customWidth="1"/>
    <col min="3078" max="3078" width="24.88671875" style="197" customWidth="1"/>
    <col min="3079" max="3081" width="12.88671875" style="197" customWidth="1"/>
    <col min="3082" max="3082" width="4.109375" style="197" customWidth="1"/>
    <col min="3083" max="3328" width="9" style="197"/>
    <col min="3329" max="3329" width="1.6640625" style="197" customWidth="1"/>
    <col min="3330" max="3330" width="3.6640625" style="197" customWidth="1"/>
    <col min="3331" max="3331" width="1.6640625" style="197" customWidth="1"/>
    <col min="3332" max="3332" width="18.6640625" style="197" customWidth="1"/>
    <col min="3333" max="3333" width="11.6640625" style="197" customWidth="1"/>
    <col min="3334" max="3334" width="24.88671875" style="197" customWidth="1"/>
    <col min="3335" max="3337" width="12.88671875" style="197" customWidth="1"/>
    <col min="3338" max="3338" width="4.109375" style="197" customWidth="1"/>
    <col min="3339" max="3584" width="9" style="197"/>
    <col min="3585" max="3585" width="1.6640625" style="197" customWidth="1"/>
    <col min="3586" max="3586" width="3.6640625" style="197" customWidth="1"/>
    <col min="3587" max="3587" width="1.6640625" style="197" customWidth="1"/>
    <col min="3588" max="3588" width="18.6640625" style="197" customWidth="1"/>
    <col min="3589" max="3589" width="11.6640625" style="197" customWidth="1"/>
    <col min="3590" max="3590" width="24.88671875" style="197" customWidth="1"/>
    <col min="3591" max="3593" width="12.88671875" style="197" customWidth="1"/>
    <col min="3594" max="3594" width="4.109375" style="197" customWidth="1"/>
    <col min="3595" max="3840" width="9" style="197"/>
    <col min="3841" max="3841" width="1.6640625" style="197" customWidth="1"/>
    <col min="3842" max="3842" width="3.6640625" style="197" customWidth="1"/>
    <col min="3843" max="3843" width="1.6640625" style="197" customWidth="1"/>
    <col min="3844" max="3844" width="18.6640625" style="197" customWidth="1"/>
    <col min="3845" max="3845" width="11.6640625" style="197" customWidth="1"/>
    <col min="3846" max="3846" width="24.88671875" style="197" customWidth="1"/>
    <col min="3847" max="3849" width="12.88671875" style="197" customWidth="1"/>
    <col min="3850" max="3850" width="4.109375" style="197" customWidth="1"/>
    <col min="3851" max="4096" width="9" style="197"/>
    <col min="4097" max="4097" width="1.6640625" style="197" customWidth="1"/>
    <col min="4098" max="4098" width="3.6640625" style="197" customWidth="1"/>
    <col min="4099" max="4099" width="1.6640625" style="197" customWidth="1"/>
    <col min="4100" max="4100" width="18.6640625" style="197" customWidth="1"/>
    <col min="4101" max="4101" width="11.6640625" style="197" customWidth="1"/>
    <col min="4102" max="4102" width="24.88671875" style="197" customWidth="1"/>
    <col min="4103" max="4105" width="12.88671875" style="197" customWidth="1"/>
    <col min="4106" max="4106" width="4.109375" style="197" customWidth="1"/>
    <col min="4107" max="4352" width="9" style="197"/>
    <col min="4353" max="4353" width="1.6640625" style="197" customWidth="1"/>
    <col min="4354" max="4354" width="3.6640625" style="197" customWidth="1"/>
    <col min="4355" max="4355" width="1.6640625" style="197" customWidth="1"/>
    <col min="4356" max="4356" width="18.6640625" style="197" customWidth="1"/>
    <col min="4357" max="4357" width="11.6640625" style="197" customWidth="1"/>
    <col min="4358" max="4358" width="24.88671875" style="197" customWidth="1"/>
    <col min="4359" max="4361" width="12.88671875" style="197" customWidth="1"/>
    <col min="4362" max="4362" width="4.109375" style="197" customWidth="1"/>
    <col min="4363" max="4608" width="9" style="197"/>
    <col min="4609" max="4609" width="1.6640625" style="197" customWidth="1"/>
    <col min="4610" max="4610" width="3.6640625" style="197" customWidth="1"/>
    <col min="4611" max="4611" width="1.6640625" style="197" customWidth="1"/>
    <col min="4612" max="4612" width="18.6640625" style="197" customWidth="1"/>
    <col min="4613" max="4613" width="11.6640625" style="197" customWidth="1"/>
    <col min="4614" max="4614" width="24.88671875" style="197" customWidth="1"/>
    <col min="4615" max="4617" width="12.88671875" style="197" customWidth="1"/>
    <col min="4618" max="4618" width="4.109375" style="197" customWidth="1"/>
    <col min="4619" max="4864" width="9" style="197"/>
    <col min="4865" max="4865" width="1.6640625" style="197" customWidth="1"/>
    <col min="4866" max="4866" width="3.6640625" style="197" customWidth="1"/>
    <col min="4867" max="4867" width="1.6640625" style="197" customWidth="1"/>
    <col min="4868" max="4868" width="18.6640625" style="197" customWidth="1"/>
    <col min="4869" max="4869" width="11.6640625" style="197" customWidth="1"/>
    <col min="4870" max="4870" width="24.88671875" style="197" customWidth="1"/>
    <col min="4871" max="4873" width="12.88671875" style="197" customWidth="1"/>
    <col min="4874" max="4874" width="4.109375" style="197" customWidth="1"/>
    <col min="4875" max="5120" width="9" style="197"/>
    <col min="5121" max="5121" width="1.6640625" style="197" customWidth="1"/>
    <col min="5122" max="5122" width="3.6640625" style="197" customWidth="1"/>
    <col min="5123" max="5123" width="1.6640625" style="197" customWidth="1"/>
    <col min="5124" max="5124" width="18.6640625" style="197" customWidth="1"/>
    <col min="5125" max="5125" width="11.6640625" style="197" customWidth="1"/>
    <col min="5126" max="5126" width="24.88671875" style="197" customWidth="1"/>
    <col min="5127" max="5129" width="12.88671875" style="197" customWidth="1"/>
    <col min="5130" max="5130" width="4.109375" style="197" customWidth="1"/>
    <col min="5131" max="5376" width="9" style="197"/>
    <col min="5377" max="5377" width="1.6640625" style="197" customWidth="1"/>
    <col min="5378" max="5378" width="3.6640625" style="197" customWidth="1"/>
    <col min="5379" max="5379" width="1.6640625" style="197" customWidth="1"/>
    <col min="5380" max="5380" width="18.6640625" style="197" customWidth="1"/>
    <col min="5381" max="5381" width="11.6640625" style="197" customWidth="1"/>
    <col min="5382" max="5382" width="24.88671875" style="197" customWidth="1"/>
    <col min="5383" max="5385" width="12.88671875" style="197" customWidth="1"/>
    <col min="5386" max="5386" width="4.109375" style="197" customWidth="1"/>
    <col min="5387" max="5632" width="9" style="197"/>
    <col min="5633" max="5633" width="1.6640625" style="197" customWidth="1"/>
    <col min="5634" max="5634" width="3.6640625" style="197" customWidth="1"/>
    <col min="5635" max="5635" width="1.6640625" style="197" customWidth="1"/>
    <col min="5636" max="5636" width="18.6640625" style="197" customWidth="1"/>
    <col min="5637" max="5637" width="11.6640625" style="197" customWidth="1"/>
    <col min="5638" max="5638" width="24.88671875" style="197" customWidth="1"/>
    <col min="5639" max="5641" width="12.88671875" style="197" customWidth="1"/>
    <col min="5642" max="5642" width="4.109375" style="197" customWidth="1"/>
    <col min="5643" max="5888" width="9" style="197"/>
    <col min="5889" max="5889" width="1.6640625" style="197" customWidth="1"/>
    <col min="5890" max="5890" width="3.6640625" style="197" customWidth="1"/>
    <col min="5891" max="5891" width="1.6640625" style="197" customWidth="1"/>
    <col min="5892" max="5892" width="18.6640625" style="197" customWidth="1"/>
    <col min="5893" max="5893" width="11.6640625" style="197" customWidth="1"/>
    <col min="5894" max="5894" width="24.88671875" style="197" customWidth="1"/>
    <col min="5895" max="5897" width="12.88671875" style="197" customWidth="1"/>
    <col min="5898" max="5898" width="4.109375" style="197" customWidth="1"/>
    <col min="5899" max="6144" width="9" style="197"/>
    <col min="6145" max="6145" width="1.6640625" style="197" customWidth="1"/>
    <col min="6146" max="6146" width="3.6640625" style="197" customWidth="1"/>
    <col min="6147" max="6147" width="1.6640625" style="197" customWidth="1"/>
    <col min="6148" max="6148" width="18.6640625" style="197" customWidth="1"/>
    <col min="6149" max="6149" width="11.6640625" style="197" customWidth="1"/>
    <col min="6150" max="6150" width="24.88671875" style="197" customWidth="1"/>
    <col min="6151" max="6153" width="12.88671875" style="197" customWidth="1"/>
    <col min="6154" max="6154" width="4.109375" style="197" customWidth="1"/>
    <col min="6155" max="6400" width="9" style="197"/>
    <col min="6401" max="6401" width="1.6640625" style="197" customWidth="1"/>
    <col min="6402" max="6402" width="3.6640625" style="197" customWidth="1"/>
    <col min="6403" max="6403" width="1.6640625" style="197" customWidth="1"/>
    <col min="6404" max="6404" width="18.6640625" style="197" customWidth="1"/>
    <col min="6405" max="6405" width="11.6640625" style="197" customWidth="1"/>
    <col min="6406" max="6406" width="24.88671875" style="197" customWidth="1"/>
    <col min="6407" max="6409" width="12.88671875" style="197" customWidth="1"/>
    <col min="6410" max="6410" width="4.109375" style="197" customWidth="1"/>
    <col min="6411" max="6656" width="9" style="197"/>
    <col min="6657" max="6657" width="1.6640625" style="197" customWidth="1"/>
    <col min="6658" max="6658" width="3.6640625" style="197" customWidth="1"/>
    <col min="6659" max="6659" width="1.6640625" style="197" customWidth="1"/>
    <col min="6660" max="6660" width="18.6640625" style="197" customWidth="1"/>
    <col min="6661" max="6661" width="11.6640625" style="197" customWidth="1"/>
    <col min="6662" max="6662" width="24.88671875" style="197" customWidth="1"/>
    <col min="6663" max="6665" width="12.88671875" style="197" customWidth="1"/>
    <col min="6666" max="6666" width="4.109375" style="197" customWidth="1"/>
    <col min="6667" max="6912" width="9" style="197"/>
    <col min="6913" max="6913" width="1.6640625" style="197" customWidth="1"/>
    <col min="6914" max="6914" width="3.6640625" style="197" customWidth="1"/>
    <col min="6915" max="6915" width="1.6640625" style="197" customWidth="1"/>
    <col min="6916" max="6916" width="18.6640625" style="197" customWidth="1"/>
    <col min="6917" max="6917" width="11.6640625" style="197" customWidth="1"/>
    <col min="6918" max="6918" width="24.88671875" style="197" customWidth="1"/>
    <col min="6919" max="6921" width="12.88671875" style="197" customWidth="1"/>
    <col min="6922" max="6922" width="4.109375" style="197" customWidth="1"/>
    <col min="6923" max="7168" width="9" style="197"/>
    <col min="7169" max="7169" width="1.6640625" style="197" customWidth="1"/>
    <col min="7170" max="7170" width="3.6640625" style="197" customWidth="1"/>
    <col min="7171" max="7171" width="1.6640625" style="197" customWidth="1"/>
    <col min="7172" max="7172" width="18.6640625" style="197" customWidth="1"/>
    <col min="7173" max="7173" width="11.6640625" style="197" customWidth="1"/>
    <col min="7174" max="7174" width="24.88671875" style="197" customWidth="1"/>
    <col min="7175" max="7177" width="12.88671875" style="197" customWidth="1"/>
    <col min="7178" max="7178" width="4.109375" style="197" customWidth="1"/>
    <col min="7179" max="7424" width="9" style="197"/>
    <col min="7425" max="7425" width="1.6640625" style="197" customWidth="1"/>
    <col min="7426" max="7426" width="3.6640625" style="197" customWidth="1"/>
    <col min="7427" max="7427" width="1.6640625" style="197" customWidth="1"/>
    <col min="7428" max="7428" width="18.6640625" style="197" customWidth="1"/>
    <col min="7429" max="7429" width="11.6640625" style="197" customWidth="1"/>
    <col min="7430" max="7430" width="24.88671875" style="197" customWidth="1"/>
    <col min="7431" max="7433" width="12.88671875" style="197" customWidth="1"/>
    <col min="7434" max="7434" width="4.109375" style="197" customWidth="1"/>
    <col min="7435" max="7680" width="9" style="197"/>
    <col min="7681" max="7681" width="1.6640625" style="197" customWidth="1"/>
    <col min="7682" max="7682" width="3.6640625" style="197" customWidth="1"/>
    <col min="7683" max="7683" width="1.6640625" style="197" customWidth="1"/>
    <col min="7684" max="7684" width="18.6640625" style="197" customWidth="1"/>
    <col min="7685" max="7685" width="11.6640625" style="197" customWidth="1"/>
    <col min="7686" max="7686" width="24.88671875" style="197" customWidth="1"/>
    <col min="7687" max="7689" width="12.88671875" style="197" customWidth="1"/>
    <col min="7690" max="7690" width="4.109375" style="197" customWidth="1"/>
    <col min="7691" max="7936" width="9" style="197"/>
    <col min="7937" max="7937" width="1.6640625" style="197" customWidth="1"/>
    <col min="7938" max="7938" width="3.6640625" style="197" customWidth="1"/>
    <col min="7939" max="7939" width="1.6640625" style="197" customWidth="1"/>
    <col min="7940" max="7940" width="18.6640625" style="197" customWidth="1"/>
    <col min="7941" max="7941" width="11.6640625" style="197" customWidth="1"/>
    <col min="7942" max="7942" width="24.88671875" style="197" customWidth="1"/>
    <col min="7943" max="7945" width="12.88671875" style="197" customWidth="1"/>
    <col min="7946" max="7946" width="4.109375" style="197" customWidth="1"/>
    <col min="7947" max="8192" width="9" style="197"/>
    <col min="8193" max="8193" width="1.6640625" style="197" customWidth="1"/>
    <col min="8194" max="8194" width="3.6640625" style="197" customWidth="1"/>
    <col min="8195" max="8195" width="1.6640625" style="197" customWidth="1"/>
    <col min="8196" max="8196" width="18.6640625" style="197" customWidth="1"/>
    <col min="8197" max="8197" width="11.6640625" style="197" customWidth="1"/>
    <col min="8198" max="8198" width="24.88671875" style="197" customWidth="1"/>
    <col min="8199" max="8201" width="12.88671875" style="197" customWidth="1"/>
    <col min="8202" max="8202" width="4.109375" style="197" customWidth="1"/>
    <col min="8203" max="8448" width="9" style="197"/>
    <col min="8449" max="8449" width="1.6640625" style="197" customWidth="1"/>
    <col min="8450" max="8450" width="3.6640625" style="197" customWidth="1"/>
    <col min="8451" max="8451" width="1.6640625" style="197" customWidth="1"/>
    <col min="8452" max="8452" width="18.6640625" style="197" customWidth="1"/>
    <col min="8453" max="8453" width="11.6640625" style="197" customWidth="1"/>
    <col min="8454" max="8454" width="24.88671875" style="197" customWidth="1"/>
    <col min="8455" max="8457" width="12.88671875" style="197" customWidth="1"/>
    <col min="8458" max="8458" width="4.109375" style="197" customWidth="1"/>
    <col min="8459" max="8704" width="9" style="197"/>
    <col min="8705" max="8705" width="1.6640625" style="197" customWidth="1"/>
    <col min="8706" max="8706" width="3.6640625" style="197" customWidth="1"/>
    <col min="8707" max="8707" width="1.6640625" style="197" customWidth="1"/>
    <col min="8708" max="8708" width="18.6640625" style="197" customWidth="1"/>
    <col min="8709" max="8709" width="11.6640625" style="197" customWidth="1"/>
    <col min="8710" max="8710" width="24.88671875" style="197" customWidth="1"/>
    <col min="8711" max="8713" width="12.88671875" style="197" customWidth="1"/>
    <col min="8714" max="8714" width="4.109375" style="197" customWidth="1"/>
    <col min="8715" max="8960" width="9" style="197"/>
    <col min="8961" max="8961" width="1.6640625" style="197" customWidth="1"/>
    <col min="8962" max="8962" width="3.6640625" style="197" customWidth="1"/>
    <col min="8963" max="8963" width="1.6640625" style="197" customWidth="1"/>
    <col min="8964" max="8964" width="18.6640625" style="197" customWidth="1"/>
    <col min="8965" max="8965" width="11.6640625" style="197" customWidth="1"/>
    <col min="8966" max="8966" width="24.88671875" style="197" customWidth="1"/>
    <col min="8967" max="8969" width="12.88671875" style="197" customWidth="1"/>
    <col min="8970" max="8970" width="4.109375" style="197" customWidth="1"/>
    <col min="8971" max="9216" width="9" style="197"/>
    <col min="9217" max="9217" width="1.6640625" style="197" customWidth="1"/>
    <col min="9218" max="9218" width="3.6640625" style="197" customWidth="1"/>
    <col min="9219" max="9219" width="1.6640625" style="197" customWidth="1"/>
    <col min="9220" max="9220" width="18.6640625" style="197" customWidth="1"/>
    <col min="9221" max="9221" width="11.6640625" style="197" customWidth="1"/>
    <col min="9222" max="9222" width="24.88671875" style="197" customWidth="1"/>
    <col min="9223" max="9225" width="12.88671875" style="197" customWidth="1"/>
    <col min="9226" max="9226" width="4.109375" style="197" customWidth="1"/>
    <col min="9227" max="9472" width="9" style="197"/>
    <col min="9473" max="9473" width="1.6640625" style="197" customWidth="1"/>
    <col min="9474" max="9474" width="3.6640625" style="197" customWidth="1"/>
    <col min="9475" max="9475" width="1.6640625" style="197" customWidth="1"/>
    <col min="9476" max="9476" width="18.6640625" style="197" customWidth="1"/>
    <col min="9477" max="9477" width="11.6640625" style="197" customWidth="1"/>
    <col min="9478" max="9478" width="24.88671875" style="197" customWidth="1"/>
    <col min="9479" max="9481" width="12.88671875" style="197" customWidth="1"/>
    <col min="9482" max="9482" width="4.109375" style="197" customWidth="1"/>
    <col min="9483" max="9728" width="9" style="197"/>
    <col min="9729" max="9729" width="1.6640625" style="197" customWidth="1"/>
    <col min="9730" max="9730" width="3.6640625" style="197" customWidth="1"/>
    <col min="9731" max="9731" width="1.6640625" style="197" customWidth="1"/>
    <col min="9732" max="9732" width="18.6640625" style="197" customWidth="1"/>
    <col min="9733" max="9733" width="11.6640625" style="197" customWidth="1"/>
    <col min="9734" max="9734" width="24.88671875" style="197" customWidth="1"/>
    <col min="9735" max="9737" width="12.88671875" style="197" customWidth="1"/>
    <col min="9738" max="9738" width="4.109375" style="197" customWidth="1"/>
    <col min="9739" max="9984" width="9" style="197"/>
    <col min="9985" max="9985" width="1.6640625" style="197" customWidth="1"/>
    <col min="9986" max="9986" width="3.6640625" style="197" customWidth="1"/>
    <col min="9987" max="9987" width="1.6640625" style="197" customWidth="1"/>
    <col min="9988" max="9988" width="18.6640625" style="197" customWidth="1"/>
    <col min="9989" max="9989" width="11.6640625" style="197" customWidth="1"/>
    <col min="9990" max="9990" width="24.88671875" style="197" customWidth="1"/>
    <col min="9991" max="9993" width="12.88671875" style="197" customWidth="1"/>
    <col min="9994" max="9994" width="4.109375" style="197" customWidth="1"/>
    <col min="9995" max="10240" width="9" style="197"/>
    <col min="10241" max="10241" width="1.6640625" style="197" customWidth="1"/>
    <col min="10242" max="10242" width="3.6640625" style="197" customWidth="1"/>
    <col min="10243" max="10243" width="1.6640625" style="197" customWidth="1"/>
    <col min="10244" max="10244" width="18.6640625" style="197" customWidth="1"/>
    <col min="10245" max="10245" width="11.6640625" style="197" customWidth="1"/>
    <col min="10246" max="10246" width="24.88671875" style="197" customWidth="1"/>
    <col min="10247" max="10249" width="12.88671875" style="197" customWidth="1"/>
    <col min="10250" max="10250" width="4.109375" style="197" customWidth="1"/>
    <col min="10251" max="10496" width="9" style="197"/>
    <col min="10497" max="10497" width="1.6640625" style="197" customWidth="1"/>
    <col min="10498" max="10498" width="3.6640625" style="197" customWidth="1"/>
    <col min="10499" max="10499" width="1.6640625" style="197" customWidth="1"/>
    <col min="10500" max="10500" width="18.6640625" style="197" customWidth="1"/>
    <col min="10501" max="10501" width="11.6640625" style="197" customWidth="1"/>
    <col min="10502" max="10502" width="24.88671875" style="197" customWidth="1"/>
    <col min="10503" max="10505" width="12.88671875" style="197" customWidth="1"/>
    <col min="10506" max="10506" width="4.109375" style="197" customWidth="1"/>
    <col min="10507" max="10752" width="9" style="197"/>
    <col min="10753" max="10753" width="1.6640625" style="197" customWidth="1"/>
    <col min="10754" max="10754" width="3.6640625" style="197" customWidth="1"/>
    <col min="10755" max="10755" width="1.6640625" style="197" customWidth="1"/>
    <col min="10756" max="10756" width="18.6640625" style="197" customWidth="1"/>
    <col min="10757" max="10757" width="11.6640625" style="197" customWidth="1"/>
    <col min="10758" max="10758" width="24.88671875" style="197" customWidth="1"/>
    <col min="10759" max="10761" width="12.88671875" style="197" customWidth="1"/>
    <col min="10762" max="10762" width="4.109375" style="197" customWidth="1"/>
    <col min="10763" max="11008" width="9" style="197"/>
    <col min="11009" max="11009" width="1.6640625" style="197" customWidth="1"/>
    <col min="11010" max="11010" width="3.6640625" style="197" customWidth="1"/>
    <col min="11011" max="11011" width="1.6640625" style="197" customWidth="1"/>
    <col min="11012" max="11012" width="18.6640625" style="197" customWidth="1"/>
    <col min="11013" max="11013" width="11.6640625" style="197" customWidth="1"/>
    <col min="11014" max="11014" width="24.88671875" style="197" customWidth="1"/>
    <col min="11015" max="11017" width="12.88671875" style="197" customWidth="1"/>
    <col min="11018" max="11018" width="4.109375" style="197" customWidth="1"/>
    <col min="11019" max="11264" width="9" style="197"/>
    <col min="11265" max="11265" width="1.6640625" style="197" customWidth="1"/>
    <col min="11266" max="11266" width="3.6640625" style="197" customWidth="1"/>
    <col min="11267" max="11267" width="1.6640625" style="197" customWidth="1"/>
    <col min="11268" max="11268" width="18.6640625" style="197" customWidth="1"/>
    <col min="11269" max="11269" width="11.6640625" style="197" customWidth="1"/>
    <col min="11270" max="11270" width="24.88671875" style="197" customWidth="1"/>
    <col min="11271" max="11273" width="12.88671875" style="197" customWidth="1"/>
    <col min="11274" max="11274" width="4.109375" style="197" customWidth="1"/>
    <col min="11275" max="11520" width="9" style="197"/>
    <col min="11521" max="11521" width="1.6640625" style="197" customWidth="1"/>
    <col min="11522" max="11522" width="3.6640625" style="197" customWidth="1"/>
    <col min="11523" max="11523" width="1.6640625" style="197" customWidth="1"/>
    <col min="11524" max="11524" width="18.6640625" style="197" customWidth="1"/>
    <col min="11525" max="11525" width="11.6640625" style="197" customWidth="1"/>
    <col min="11526" max="11526" width="24.88671875" style="197" customWidth="1"/>
    <col min="11527" max="11529" width="12.88671875" style="197" customWidth="1"/>
    <col min="11530" max="11530" width="4.109375" style="197" customWidth="1"/>
    <col min="11531" max="11776" width="9" style="197"/>
    <col min="11777" max="11777" width="1.6640625" style="197" customWidth="1"/>
    <col min="11778" max="11778" width="3.6640625" style="197" customWidth="1"/>
    <col min="11779" max="11779" width="1.6640625" style="197" customWidth="1"/>
    <col min="11780" max="11780" width="18.6640625" style="197" customWidth="1"/>
    <col min="11781" max="11781" width="11.6640625" style="197" customWidth="1"/>
    <col min="11782" max="11782" width="24.88671875" style="197" customWidth="1"/>
    <col min="11783" max="11785" width="12.88671875" style="197" customWidth="1"/>
    <col min="11786" max="11786" width="4.109375" style="197" customWidth="1"/>
    <col min="11787" max="12032" width="9" style="197"/>
    <col min="12033" max="12033" width="1.6640625" style="197" customWidth="1"/>
    <col min="12034" max="12034" width="3.6640625" style="197" customWidth="1"/>
    <col min="12035" max="12035" width="1.6640625" style="197" customWidth="1"/>
    <col min="12036" max="12036" width="18.6640625" style="197" customWidth="1"/>
    <col min="12037" max="12037" width="11.6640625" style="197" customWidth="1"/>
    <col min="12038" max="12038" width="24.88671875" style="197" customWidth="1"/>
    <col min="12039" max="12041" width="12.88671875" style="197" customWidth="1"/>
    <col min="12042" max="12042" width="4.109375" style="197" customWidth="1"/>
    <col min="12043" max="12288" width="9" style="197"/>
    <col min="12289" max="12289" width="1.6640625" style="197" customWidth="1"/>
    <col min="12290" max="12290" width="3.6640625" style="197" customWidth="1"/>
    <col min="12291" max="12291" width="1.6640625" style="197" customWidth="1"/>
    <col min="12292" max="12292" width="18.6640625" style="197" customWidth="1"/>
    <col min="12293" max="12293" width="11.6640625" style="197" customWidth="1"/>
    <col min="12294" max="12294" width="24.88671875" style="197" customWidth="1"/>
    <col min="12295" max="12297" width="12.88671875" style="197" customWidth="1"/>
    <col min="12298" max="12298" width="4.109375" style="197" customWidth="1"/>
    <col min="12299" max="12544" width="9" style="197"/>
    <col min="12545" max="12545" width="1.6640625" style="197" customWidth="1"/>
    <col min="12546" max="12546" width="3.6640625" style="197" customWidth="1"/>
    <col min="12547" max="12547" width="1.6640625" style="197" customWidth="1"/>
    <col min="12548" max="12548" width="18.6640625" style="197" customWidth="1"/>
    <col min="12549" max="12549" width="11.6640625" style="197" customWidth="1"/>
    <col min="12550" max="12550" width="24.88671875" style="197" customWidth="1"/>
    <col min="12551" max="12553" width="12.88671875" style="197" customWidth="1"/>
    <col min="12554" max="12554" width="4.109375" style="197" customWidth="1"/>
    <col min="12555" max="12800" width="9" style="197"/>
    <col min="12801" max="12801" width="1.6640625" style="197" customWidth="1"/>
    <col min="12802" max="12802" width="3.6640625" style="197" customWidth="1"/>
    <col min="12803" max="12803" width="1.6640625" style="197" customWidth="1"/>
    <col min="12804" max="12804" width="18.6640625" style="197" customWidth="1"/>
    <col min="12805" max="12805" width="11.6640625" style="197" customWidth="1"/>
    <col min="12806" max="12806" width="24.88671875" style="197" customWidth="1"/>
    <col min="12807" max="12809" width="12.88671875" style="197" customWidth="1"/>
    <col min="12810" max="12810" width="4.109375" style="197" customWidth="1"/>
    <col min="12811" max="13056" width="9" style="197"/>
    <col min="13057" max="13057" width="1.6640625" style="197" customWidth="1"/>
    <col min="13058" max="13058" width="3.6640625" style="197" customWidth="1"/>
    <col min="13059" max="13059" width="1.6640625" style="197" customWidth="1"/>
    <col min="13060" max="13060" width="18.6640625" style="197" customWidth="1"/>
    <col min="13061" max="13061" width="11.6640625" style="197" customWidth="1"/>
    <col min="13062" max="13062" width="24.88671875" style="197" customWidth="1"/>
    <col min="13063" max="13065" width="12.88671875" style="197" customWidth="1"/>
    <col min="13066" max="13066" width="4.109375" style="197" customWidth="1"/>
    <col min="13067" max="13312" width="9" style="197"/>
    <col min="13313" max="13313" width="1.6640625" style="197" customWidth="1"/>
    <col min="13314" max="13314" width="3.6640625" style="197" customWidth="1"/>
    <col min="13315" max="13315" width="1.6640625" style="197" customWidth="1"/>
    <col min="13316" max="13316" width="18.6640625" style="197" customWidth="1"/>
    <col min="13317" max="13317" width="11.6640625" style="197" customWidth="1"/>
    <col min="13318" max="13318" width="24.88671875" style="197" customWidth="1"/>
    <col min="13319" max="13321" width="12.88671875" style="197" customWidth="1"/>
    <col min="13322" max="13322" width="4.109375" style="197" customWidth="1"/>
    <col min="13323" max="13568" width="9" style="197"/>
    <col min="13569" max="13569" width="1.6640625" style="197" customWidth="1"/>
    <col min="13570" max="13570" width="3.6640625" style="197" customWidth="1"/>
    <col min="13571" max="13571" width="1.6640625" style="197" customWidth="1"/>
    <col min="13572" max="13572" width="18.6640625" style="197" customWidth="1"/>
    <col min="13573" max="13573" width="11.6640625" style="197" customWidth="1"/>
    <col min="13574" max="13574" width="24.88671875" style="197" customWidth="1"/>
    <col min="13575" max="13577" width="12.88671875" style="197" customWidth="1"/>
    <col min="13578" max="13578" width="4.109375" style="197" customWidth="1"/>
    <col min="13579" max="13824" width="9" style="197"/>
    <col min="13825" max="13825" width="1.6640625" style="197" customWidth="1"/>
    <col min="13826" max="13826" width="3.6640625" style="197" customWidth="1"/>
    <col min="13827" max="13827" width="1.6640625" style="197" customWidth="1"/>
    <col min="13828" max="13828" width="18.6640625" style="197" customWidth="1"/>
    <col min="13829" max="13829" width="11.6640625" style="197" customWidth="1"/>
    <col min="13830" max="13830" width="24.88671875" style="197" customWidth="1"/>
    <col min="13831" max="13833" width="12.88671875" style="197" customWidth="1"/>
    <col min="13834" max="13834" width="4.109375" style="197" customWidth="1"/>
    <col min="13835" max="14080" width="9" style="197"/>
    <col min="14081" max="14081" width="1.6640625" style="197" customWidth="1"/>
    <col min="14082" max="14082" width="3.6640625" style="197" customWidth="1"/>
    <col min="14083" max="14083" width="1.6640625" style="197" customWidth="1"/>
    <col min="14084" max="14084" width="18.6640625" style="197" customWidth="1"/>
    <col min="14085" max="14085" width="11.6640625" style="197" customWidth="1"/>
    <col min="14086" max="14086" width="24.88671875" style="197" customWidth="1"/>
    <col min="14087" max="14089" width="12.88671875" style="197" customWidth="1"/>
    <col min="14090" max="14090" width="4.109375" style="197" customWidth="1"/>
    <col min="14091" max="14336" width="9" style="197"/>
    <col min="14337" max="14337" width="1.6640625" style="197" customWidth="1"/>
    <col min="14338" max="14338" width="3.6640625" style="197" customWidth="1"/>
    <col min="14339" max="14339" width="1.6640625" style="197" customWidth="1"/>
    <col min="14340" max="14340" width="18.6640625" style="197" customWidth="1"/>
    <col min="14341" max="14341" width="11.6640625" style="197" customWidth="1"/>
    <col min="14342" max="14342" width="24.88671875" style="197" customWidth="1"/>
    <col min="14343" max="14345" width="12.88671875" style="197" customWidth="1"/>
    <col min="14346" max="14346" width="4.109375" style="197" customWidth="1"/>
    <col min="14347" max="14592" width="9" style="197"/>
    <col min="14593" max="14593" width="1.6640625" style="197" customWidth="1"/>
    <col min="14594" max="14594" width="3.6640625" style="197" customWidth="1"/>
    <col min="14595" max="14595" width="1.6640625" style="197" customWidth="1"/>
    <col min="14596" max="14596" width="18.6640625" style="197" customWidth="1"/>
    <col min="14597" max="14597" width="11.6640625" style="197" customWidth="1"/>
    <col min="14598" max="14598" width="24.88671875" style="197" customWidth="1"/>
    <col min="14599" max="14601" width="12.88671875" style="197" customWidth="1"/>
    <col min="14602" max="14602" width="4.109375" style="197" customWidth="1"/>
    <col min="14603" max="14848" width="9" style="197"/>
    <col min="14849" max="14849" width="1.6640625" style="197" customWidth="1"/>
    <col min="14850" max="14850" width="3.6640625" style="197" customWidth="1"/>
    <col min="14851" max="14851" width="1.6640625" style="197" customWidth="1"/>
    <col min="14852" max="14852" width="18.6640625" style="197" customWidth="1"/>
    <col min="14853" max="14853" width="11.6640625" style="197" customWidth="1"/>
    <col min="14854" max="14854" width="24.88671875" style="197" customWidth="1"/>
    <col min="14855" max="14857" width="12.88671875" style="197" customWidth="1"/>
    <col min="14858" max="14858" width="4.109375" style="197" customWidth="1"/>
    <col min="14859" max="15104" width="9" style="197"/>
    <col min="15105" max="15105" width="1.6640625" style="197" customWidth="1"/>
    <col min="15106" max="15106" width="3.6640625" style="197" customWidth="1"/>
    <col min="15107" max="15107" width="1.6640625" style="197" customWidth="1"/>
    <col min="15108" max="15108" width="18.6640625" style="197" customWidth="1"/>
    <col min="15109" max="15109" width="11.6640625" style="197" customWidth="1"/>
    <col min="15110" max="15110" width="24.88671875" style="197" customWidth="1"/>
    <col min="15111" max="15113" width="12.88671875" style="197" customWidth="1"/>
    <col min="15114" max="15114" width="4.109375" style="197" customWidth="1"/>
    <col min="15115" max="15360" width="9" style="197"/>
    <col min="15361" max="15361" width="1.6640625" style="197" customWidth="1"/>
    <col min="15362" max="15362" width="3.6640625" style="197" customWidth="1"/>
    <col min="15363" max="15363" width="1.6640625" style="197" customWidth="1"/>
    <col min="15364" max="15364" width="18.6640625" style="197" customWidth="1"/>
    <col min="15365" max="15365" width="11.6640625" style="197" customWidth="1"/>
    <col min="15366" max="15366" width="24.88671875" style="197" customWidth="1"/>
    <col min="15367" max="15369" width="12.88671875" style="197" customWidth="1"/>
    <col min="15370" max="15370" width="4.109375" style="197" customWidth="1"/>
    <col min="15371" max="15616" width="9" style="197"/>
    <col min="15617" max="15617" width="1.6640625" style="197" customWidth="1"/>
    <col min="15618" max="15618" width="3.6640625" style="197" customWidth="1"/>
    <col min="15619" max="15619" width="1.6640625" style="197" customWidth="1"/>
    <col min="15620" max="15620" width="18.6640625" style="197" customWidth="1"/>
    <col min="15621" max="15621" width="11.6640625" style="197" customWidth="1"/>
    <col min="15622" max="15622" width="24.88671875" style="197" customWidth="1"/>
    <col min="15623" max="15625" width="12.88671875" style="197" customWidth="1"/>
    <col min="15626" max="15626" width="4.109375" style="197" customWidth="1"/>
    <col min="15627" max="15872" width="9" style="197"/>
    <col min="15873" max="15873" width="1.6640625" style="197" customWidth="1"/>
    <col min="15874" max="15874" width="3.6640625" style="197" customWidth="1"/>
    <col min="15875" max="15875" width="1.6640625" style="197" customWidth="1"/>
    <col min="15876" max="15876" width="18.6640625" style="197" customWidth="1"/>
    <col min="15877" max="15877" width="11.6640625" style="197" customWidth="1"/>
    <col min="15878" max="15878" width="24.88671875" style="197" customWidth="1"/>
    <col min="15879" max="15881" width="12.88671875" style="197" customWidth="1"/>
    <col min="15882" max="15882" width="4.109375" style="197" customWidth="1"/>
    <col min="15883" max="16128" width="9" style="197"/>
    <col min="16129" max="16129" width="1.6640625" style="197" customWidth="1"/>
    <col min="16130" max="16130" width="3.6640625" style="197" customWidth="1"/>
    <col min="16131" max="16131" width="1.6640625" style="197" customWidth="1"/>
    <col min="16132" max="16132" width="18.6640625" style="197" customWidth="1"/>
    <col min="16133" max="16133" width="11.6640625" style="197" customWidth="1"/>
    <col min="16134" max="16134" width="24.88671875" style="197" customWidth="1"/>
    <col min="16135" max="16137" width="12.88671875" style="197" customWidth="1"/>
    <col min="16138" max="16138" width="4.109375" style="197" customWidth="1"/>
    <col min="16139" max="16384" width="9" style="197"/>
  </cols>
  <sheetData>
    <row r="1" spans="1:11" x14ac:dyDescent="0.2">
      <c r="A1" s="227"/>
      <c r="B1" s="227"/>
      <c r="C1" s="227"/>
      <c r="D1" s="196" t="s">
        <v>228</v>
      </c>
      <c r="E1" s="196"/>
      <c r="F1" s="196"/>
      <c r="G1" s="196"/>
      <c r="H1" s="196"/>
      <c r="I1" s="196"/>
      <c r="J1" s="196"/>
      <c r="K1" s="227"/>
    </row>
    <row r="2" spans="1:11" x14ac:dyDescent="0.2">
      <c r="A2" s="227"/>
      <c r="B2" s="227"/>
      <c r="C2" s="227"/>
      <c r="D2" s="200" t="s">
        <v>226</v>
      </c>
      <c r="E2" s="200"/>
      <c r="F2" s="200"/>
      <c r="G2" s="200"/>
      <c r="H2" s="200"/>
      <c r="I2" s="200"/>
      <c r="J2" s="228"/>
      <c r="K2" s="227"/>
    </row>
    <row r="3" spans="1:11" x14ac:dyDescent="0.2">
      <c r="A3" s="227"/>
      <c r="B3" s="227"/>
      <c r="C3" s="227"/>
      <c r="D3" s="228"/>
      <c r="E3" s="228"/>
      <c r="F3" s="228"/>
      <c r="G3" s="228"/>
      <c r="H3" s="228"/>
      <c r="I3" s="228"/>
      <c r="J3" s="228"/>
      <c r="K3" s="227"/>
    </row>
    <row r="4" spans="1:11" x14ac:dyDescent="0.2">
      <c r="A4" s="185" t="s">
        <v>164</v>
      </c>
      <c r="B4" s="185"/>
      <c r="C4" s="185"/>
      <c r="D4" s="185"/>
      <c r="E4" s="229" t="s">
        <v>229</v>
      </c>
      <c r="F4" s="227"/>
      <c r="G4" s="227"/>
      <c r="H4" s="227"/>
      <c r="I4" s="230" t="s">
        <v>165</v>
      </c>
      <c r="J4" s="230"/>
      <c r="K4" s="227"/>
    </row>
    <row r="5" spans="1:11" ht="30" customHeight="1" x14ac:dyDescent="0.2">
      <c r="A5" s="183" t="s">
        <v>166</v>
      </c>
      <c r="B5" s="184"/>
      <c r="C5" s="184"/>
      <c r="D5" s="214"/>
      <c r="E5" s="231" t="s">
        <v>167</v>
      </c>
      <c r="F5" s="214"/>
      <c r="G5" s="232" t="s">
        <v>137</v>
      </c>
      <c r="H5" s="232" t="s">
        <v>220</v>
      </c>
      <c r="I5" s="233" t="s">
        <v>230</v>
      </c>
      <c r="J5" s="233" t="s">
        <v>168</v>
      </c>
      <c r="K5" s="227"/>
    </row>
    <row r="6" spans="1:11" ht="30" customHeight="1" x14ac:dyDescent="0.2">
      <c r="A6" s="234" t="s">
        <v>169</v>
      </c>
      <c r="B6" s="149">
        <v>7</v>
      </c>
      <c r="C6" s="235" t="s">
        <v>170</v>
      </c>
      <c r="D6" s="211" t="s">
        <v>146</v>
      </c>
      <c r="E6" s="186" t="s">
        <v>146</v>
      </c>
      <c r="F6" s="237"/>
      <c r="G6" s="108">
        <v>111630</v>
      </c>
      <c r="H6" s="108">
        <v>111630</v>
      </c>
      <c r="I6" s="108">
        <v>0</v>
      </c>
      <c r="J6" s="236"/>
      <c r="K6" s="227"/>
    </row>
    <row r="7" spans="1:11" ht="30" customHeight="1" x14ac:dyDescent="0.2">
      <c r="A7" s="234" t="s">
        <v>169</v>
      </c>
      <c r="B7" s="149"/>
      <c r="C7" s="235" t="s">
        <v>170</v>
      </c>
      <c r="D7" s="211"/>
      <c r="E7" s="186"/>
      <c r="F7" s="237"/>
      <c r="G7" s="108"/>
      <c r="H7" s="108"/>
      <c r="I7" s="108"/>
      <c r="J7" s="236"/>
      <c r="K7" s="227"/>
    </row>
    <row r="8" spans="1:11" ht="30" customHeight="1" x14ac:dyDescent="0.2">
      <c r="A8" s="234" t="s">
        <v>169</v>
      </c>
      <c r="B8" s="149"/>
      <c r="C8" s="235" t="s">
        <v>170</v>
      </c>
      <c r="D8" s="236"/>
      <c r="E8" s="186"/>
      <c r="F8" s="237"/>
      <c r="G8" s="108"/>
      <c r="H8" s="108"/>
      <c r="I8" s="108"/>
      <c r="J8" s="236"/>
      <c r="K8" s="227"/>
    </row>
    <row r="9" spans="1:11" ht="30" customHeight="1" x14ac:dyDescent="0.2">
      <c r="A9" s="234" t="s">
        <v>169</v>
      </c>
      <c r="B9" s="149"/>
      <c r="C9" s="235" t="s">
        <v>170</v>
      </c>
      <c r="D9" s="236"/>
      <c r="E9" s="186"/>
      <c r="F9" s="237"/>
      <c r="G9" s="108"/>
      <c r="H9" s="108"/>
      <c r="I9" s="108">
        <f>G9-H9</f>
        <v>0</v>
      </c>
      <c r="J9" s="236"/>
      <c r="K9" s="227"/>
    </row>
    <row r="10" spans="1:11" ht="30" customHeight="1" x14ac:dyDescent="0.2">
      <c r="A10" s="183" t="s">
        <v>171</v>
      </c>
      <c r="B10" s="184"/>
      <c r="C10" s="184"/>
      <c r="D10" s="184"/>
      <c r="E10" s="184"/>
      <c r="F10" s="214"/>
      <c r="G10" s="108">
        <f>SUM(G6:G9)</f>
        <v>111630</v>
      </c>
      <c r="H10" s="108">
        <f>SUM(H6:H9)</f>
        <v>111630</v>
      </c>
      <c r="I10" s="108">
        <f>SUM(I6:I9)</f>
        <v>0</v>
      </c>
      <c r="J10" s="236"/>
      <c r="K10" s="227"/>
    </row>
    <row r="11" spans="1:11" ht="13.5" customHeight="1" x14ac:dyDescent="0.2">
      <c r="A11" s="227"/>
      <c r="B11" s="227"/>
      <c r="C11" s="227"/>
      <c r="D11" s="227"/>
      <c r="E11" s="227"/>
      <c r="F11" s="227"/>
      <c r="G11" s="227"/>
      <c r="H11" s="227"/>
      <c r="I11" s="227"/>
      <c r="J11" s="227"/>
      <c r="K11" s="227"/>
    </row>
    <row r="12" spans="1:11" ht="13.5" customHeight="1" x14ac:dyDescent="0.2">
      <c r="A12" s="227"/>
      <c r="B12" s="227"/>
      <c r="C12" s="227"/>
      <c r="D12" s="227"/>
      <c r="E12" s="227"/>
      <c r="F12" s="227"/>
      <c r="G12" s="227"/>
      <c r="H12" s="227"/>
      <c r="I12" s="227"/>
      <c r="J12" s="227"/>
      <c r="K12" s="227"/>
    </row>
    <row r="13" spans="1:11" ht="17.100000000000001" customHeight="1" x14ac:dyDescent="0.2">
      <c r="A13" s="227"/>
      <c r="B13" s="227"/>
      <c r="C13" s="227"/>
      <c r="D13" s="196"/>
      <c r="E13" s="196"/>
      <c r="F13" s="196"/>
      <c r="G13" s="196"/>
      <c r="H13" s="196"/>
      <c r="I13" s="196"/>
      <c r="J13" s="196"/>
      <c r="K13" s="227"/>
    </row>
    <row r="14" spans="1:11" ht="17.100000000000001" customHeight="1" x14ac:dyDescent="0.2">
      <c r="A14" s="185" t="s">
        <v>172</v>
      </c>
      <c r="B14" s="185"/>
      <c r="C14" s="185"/>
      <c r="D14" s="185"/>
      <c r="E14" s="229" t="s">
        <v>231</v>
      </c>
      <c r="F14" s="227"/>
      <c r="G14" s="227"/>
      <c r="H14" s="227"/>
      <c r="I14" s="230" t="s">
        <v>165</v>
      </c>
      <c r="J14" s="230"/>
      <c r="K14" s="227"/>
    </row>
    <row r="15" spans="1:11" ht="30" customHeight="1" x14ac:dyDescent="0.2">
      <c r="A15" s="183" t="s">
        <v>166</v>
      </c>
      <c r="B15" s="184"/>
      <c r="C15" s="184"/>
      <c r="D15" s="214"/>
      <c r="E15" s="232" t="s">
        <v>173</v>
      </c>
      <c r="F15" s="232" t="s">
        <v>174</v>
      </c>
      <c r="G15" s="232" t="s">
        <v>137</v>
      </c>
      <c r="H15" s="232" t="s">
        <v>220</v>
      </c>
      <c r="I15" s="233" t="s">
        <v>221</v>
      </c>
      <c r="J15" s="233" t="s">
        <v>168</v>
      </c>
      <c r="K15" s="227"/>
    </row>
    <row r="16" spans="1:11" ht="30" customHeight="1" x14ac:dyDescent="0.2">
      <c r="A16" s="234" t="s">
        <v>169</v>
      </c>
      <c r="B16" s="149">
        <v>1</v>
      </c>
      <c r="C16" s="235" t="s">
        <v>170</v>
      </c>
      <c r="D16" s="211" t="s">
        <v>232</v>
      </c>
      <c r="E16" s="93" t="s">
        <v>150</v>
      </c>
      <c r="F16" s="93" t="s">
        <v>175</v>
      </c>
      <c r="G16" s="143">
        <v>43560</v>
      </c>
      <c r="H16" s="143">
        <v>43560</v>
      </c>
      <c r="I16" s="212">
        <f>G16-H16</f>
        <v>0</v>
      </c>
      <c r="J16" s="245">
        <f>'見積企業一覧表(様式5)'!$A$7</f>
        <v>1</v>
      </c>
      <c r="K16" s="227"/>
    </row>
    <row r="17" spans="1:11" ht="30" customHeight="1" x14ac:dyDescent="0.2">
      <c r="A17" s="239"/>
      <c r="B17" s="227"/>
      <c r="C17" s="227"/>
      <c r="D17" s="238"/>
      <c r="E17" s="93" t="s">
        <v>150</v>
      </c>
      <c r="F17" s="93" t="s">
        <v>176</v>
      </c>
      <c r="G17" s="143">
        <v>3388</v>
      </c>
      <c r="H17" s="143">
        <v>3388</v>
      </c>
      <c r="I17" s="212">
        <f>G17-H17</f>
        <v>0</v>
      </c>
      <c r="J17" s="245">
        <f>'見積企業一覧表(様式5)'!$A$7</f>
        <v>1</v>
      </c>
      <c r="K17" s="227"/>
    </row>
    <row r="18" spans="1:11" ht="30" customHeight="1" x14ac:dyDescent="0.2">
      <c r="A18" s="239"/>
      <c r="B18" s="227"/>
      <c r="C18" s="227"/>
      <c r="D18" s="238"/>
      <c r="E18" s="236"/>
      <c r="F18" s="238"/>
      <c r="G18" s="215"/>
      <c r="H18" s="215"/>
      <c r="I18" s="212">
        <f>G18-H18</f>
        <v>0</v>
      </c>
      <c r="J18" s="233"/>
      <c r="K18" s="227"/>
    </row>
    <row r="19" spans="1:11" ht="30" customHeight="1" x14ac:dyDescent="0.2">
      <c r="A19" s="240"/>
      <c r="B19" s="235"/>
      <c r="C19" s="235"/>
      <c r="D19" s="236"/>
      <c r="E19" s="235"/>
      <c r="F19" s="241" t="s">
        <v>177</v>
      </c>
      <c r="G19" s="242">
        <f>SUM(G16:G18)</f>
        <v>46948</v>
      </c>
      <c r="H19" s="242">
        <f>SUM(H16:H18)</f>
        <v>46948</v>
      </c>
      <c r="I19" s="212">
        <f>SUM(I16:I18)</f>
        <v>0</v>
      </c>
      <c r="J19" s="233"/>
      <c r="K19" s="227"/>
    </row>
    <row r="20" spans="1:11" ht="30" customHeight="1" x14ac:dyDescent="0.2">
      <c r="A20" s="234" t="s">
        <v>169</v>
      </c>
      <c r="B20" s="149">
        <v>2</v>
      </c>
      <c r="C20" s="235" t="s">
        <v>170</v>
      </c>
      <c r="D20" s="211" t="s">
        <v>151</v>
      </c>
      <c r="E20" s="93" t="s">
        <v>178</v>
      </c>
      <c r="F20" s="93" t="s">
        <v>216</v>
      </c>
      <c r="G20" s="143">
        <v>6050</v>
      </c>
      <c r="H20" s="143">
        <v>6050</v>
      </c>
      <c r="I20" s="212">
        <f>G20-H20</f>
        <v>0</v>
      </c>
      <c r="J20" s="245">
        <f>$J$17</f>
        <v>1</v>
      </c>
      <c r="K20" s="227"/>
    </row>
    <row r="21" spans="1:11" ht="30" customHeight="1" x14ac:dyDescent="0.2">
      <c r="A21" s="239"/>
      <c r="B21" s="227"/>
      <c r="C21" s="227"/>
      <c r="D21" s="238"/>
      <c r="E21" s="93" t="s">
        <v>178</v>
      </c>
      <c r="F21" s="243" t="s">
        <v>179</v>
      </c>
      <c r="G21" s="143">
        <v>30000</v>
      </c>
      <c r="H21" s="143">
        <v>30000</v>
      </c>
      <c r="I21" s="212">
        <f>G21-H21</f>
        <v>0</v>
      </c>
      <c r="J21" s="245">
        <f>'見積企業一覧表(様式5)'!$A$9</f>
        <v>3</v>
      </c>
      <c r="K21" s="227"/>
    </row>
    <row r="22" spans="1:11" ht="30" customHeight="1" x14ac:dyDescent="0.2">
      <c r="A22" s="239"/>
      <c r="B22" s="227"/>
      <c r="C22" s="227"/>
      <c r="D22" s="238"/>
      <c r="E22" s="236"/>
      <c r="F22" s="236"/>
      <c r="G22" s="212"/>
      <c r="H22" s="212"/>
      <c r="I22" s="212">
        <f>G22-H22</f>
        <v>0</v>
      </c>
      <c r="J22" s="233"/>
      <c r="K22" s="227"/>
    </row>
    <row r="23" spans="1:11" ht="30" customHeight="1" x14ac:dyDescent="0.2">
      <c r="A23" s="240"/>
      <c r="B23" s="235"/>
      <c r="C23" s="235"/>
      <c r="D23" s="236"/>
      <c r="E23" s="235"/>
      <c r="F23" s="236" t="s">
        <v>180</v>
      </c>
      <c r="G23" s="212">
        <f>SUM(G20:G22)</f>
        <v>36050</v>
      </c>
      <c r="H23" s="212">
        <f>SUM(H20:H22)</f>
        <v>36050</v>
      </c>
      <c r="I23" s="212">
        <f>SUM(I20:I22)</f>
        <v>0</v>
      </c>
      <c r="J23" s="233"/>
      <c r="K23" s="227"/>
    </row>
    <row r="24" spans="1:11" ht="30" customHeight="1" x14ac:dyDescent="0.2">
      <c r="A24" s="234" t="s">
        <v>169</v>
      </c>
      <c r="B24" s="149">
        <v>12</v>
      </c>
      <c r="C24" s="235" t="s">
        <v>170</v>
      </c>
      <c r="D24" s="236" t="s">
        <v>161</v>
      </c>
      <c r="E24" s="93" t="s">
        <v>161</v>
      </c>
      <c r="F24" s="145" t="s">
        <v>211</v>
      </c>
      <c r="G24" s="143">
        <v>20625</v>
      </c>
      <c r="H24" s="143">
        <v>20625</v>
      </c>
      <c r="I24" s="212">
        <f>G24-H24</f>
        <v>0</v>
      </c>
      <c r="J24" s="245">
        <f>$J$17</f>
        <v>1</v>
      </c>
      <c r="K24" s="227"/>
    </row>
    <row r="25" spans="1:11" ht="39.6" customHeight="1" x14ac:dyDescent="0.2">
      <c r="A25" s="239"/>
      <c r="B25" s="227"/>
      <c r="C25" s="227"/>
      <c r="D25" s="238"/>
      <c r="E25" s="93" t="s">
        <v>161</v>
      </c>
      <c r="F25" s="244" t="s">
        <v>233</v>
      </c>
      <c r="G25" s="143">
        <v>8007</v>
      </c>
      <c r="H25" s="143">
        <v>8007</v>
      </c>
      <c r="I25" s="212">
        <f>G25-H25</f>
        <v>0</v>
      </c>
      <c r="J25" s="245">
        <f>'見積企業一覧表(様式5)'!$A$8</f>
        <v>2</v>
      </c>
      <c r="K25" s="227"/>
    </row>
    <row r="26" spans="1:11" ht="30" customHeight="1" x14ac:dyDescent="0.2">
      <c r="A26" s="239"/>
      <c r="B26" s="227"/>
      <c r="C26" s="227"/>
      <c r="D26" s="238"/>
      <c r="E26" s="236"/>
      <c r="F26" s="236"/>
      <c r="G26" s="212"/>
      <c r="H26" s="212"/>
      <c r="I26" s="212">
        <f>G26-H26</f>
        <v>0</v>
      </c>
      <c r="J26" s="236"/>
      <c r="K26" s="227"/>
    </row>
    <row r="27" spans="1:11" ht="30" customHeight="1" x14ac:dyDescent="0.2">
      <c r="A27" s="240"/>
      <c r="B27" s="235"/>
      <c r="C27" s="235"/>
      <c r="D27" s="236"/>
      <c r="E27" s="235"/>
      <c r="F27" s="236" t="s">
        <v>177</v>
      </c>
      <c r="G27" s="212">
        <f>SUM(G24:G26)</f>
        <v>28632</v>
      </c>
      <c r="H27" s="212">
        <f>SUM(H24:H26)</f>
        <v>28632</v>
      </c>
      <c r="I27" s="212">
        <f>SUM(I24:I26)</f>
        <v>0</v>
      </c>
      <c r="J27" s="236"/>
      <c r="K27" s="227"/>
    </row>
    <row r="28" spans="1:11" ht="30" customHeight="1" x14ac:dyDescent="0.2">
      <c r="A28" s="240"/>
      <c r="B28" s="235"/>
      <c r="C28" s="235"/>
      <c r="D28" s="235"/>
      <c r="E28" s="235"/>
      <c r="F28" s="236" t="s">
        <v>181</v>
      </c>
      <c r="G28" s="212">
        <f>(G19+G23+G27)</f>
        <v>111630</v>
      </c>
      <c r="H28" s="212">
        <f>(H19+H23+H27)</f>
        <v>111630</v>
      </c>
      <c r="I28" s="212">
        <f>(G28-H28)</f>
        <v>0</v>
      </c>
      <c r="J28" s="236"/>
      <c r="K28" s="227"/>
    </row>
    <row r="29" spans="1:11" ht="19.5" customHeight="1" x14ac:dyDescent="0.2">
      <c r="A29" s="227"/>
      <c r="B29" s="227"/>
      <c r="C29" s="227"/>
      <c r="D29" s="227"/>
      <c r="E29" s="227"/>
      <c r="F29" s="227"/>
      <c r="G29" s="227"/>
      <c r="H29" s="227"/>
      <c r="I29" s="227"/>
      <c r="J29" s="227"/>
      <c r="K29" s="227"/>
    </row>
    <row r="30" spans="1:11" ht="19.5" customHeight="1" x14ac:dyDescent="0.2">
      <c r="A30" s="227"/>
      <c r="B30" s="227"/>
      <c r="C30" s="227"/>
      <c r="D30" s="227"/>
      <c r="E30" s="227"/>
      <c r="F30" s="227"/>
      <c r="G30" s="227"/>
      <c r="H30" s="227"/>
      <c r="I30" s="227"/>
      <c r="J30" s="227"/>
      <c r="K30" s="227"/>
    </row>
    <row r="31" spans="1:11" ht="19.5" customHeight="1" x14ac:dyDescent="0.2">
      <c r="A31" s="227"/>
      <c r="B31" s="227"/>
      <c r="C31" s="227"/>
      <c r="D31" s="227"/>
      <c r="E31" s="227"/>
      <c r="F31" s="227"/>
      <c r="G31" s="227"/>
      <c r="H31" s="227"/>
      <c r="I31" s="227"/>
      <c r="J31" s="227"/>
      <c r="K31" s="227"/>
    </row>
    <row r="32" spans="1:11" ht="19.5" customHeight="1" x14ac:dyDescent="0.2">
      <c r="A32" s="227"/>
      <c r="B32" s="227"/>
      <c r="C32" s="227"/>
      <c r="D32" s="227"/>
      <c r="E32" s="227"/>
      <c r="F32" s="227"/>
      <c r="G32" s="227"/>
      <c r="H32" s="227"/>
      <c r="I32" s="227"/>
      <c r="J32" s="227"/>
      <c r="K32" s="227"/>
    </row>
    <row r="33" spans="1:11" ht="19.5" customHeight="1" x14ac:dyDescent="0.2">
      <c r="A33" s="227"/>
      <c r="B33" s="227"/>
      <c r="C33" s="227"/>
      <c r="D33" s="227"/>
      <c r="E33" s="227"/>
      <c r="F33" s="227"/>
      <c r="G33" s="227"/>
      <c r="H33" s="227"/>
      <c r="I33" s="227"/>
      <c r="J33" s="227"/>
      <c r="K33" s="227"/>
    </row>
    <row r="34" spans="1:11" ht="19.5" customHeight="1" x14ac:dyDescent="0.2">
      <c r="A34" s="227"/>
      <c r="B34" s="227"/>
      <c r="C34" s="227"/>
      <c r="D34" s="227"/>
      <c r="E34" s="227"/>
      <c r="F34" s="227"/>
      <c r="G34" s="227"/>
      <c r="H34" s="227"/>
      <c r="I34" s="227"/>
      <c r="J34" s="227"/>
      <c r="K34" s="227"/>
    </row>
    <row r="35" spans="1:11" ht="19.5" customHeight="1" x14ac:dyDescent="0.2">
      <c r="A35" s="227"/>
      <c r="B35" s="227"/>
      <c r="C35" s="227"/>
      <c r="D35" s="227"/>
      <c r="E35" s="227"/>
      <c r="F35" s="227"/>
      <c r="G35" s="227"/>
      <c r="H35" s="227"/>
      <c r="I35" s="227"/>
      <c r="J35" s="227"/>
      <c r="K35" s="227"/>
    </row>
  </sheetData>
  <mergeCells count="15">
    <mergeCell ref="A10:F10"/>
    <mergeCell ref="D13:J13"/>
    <mergeCell ref="A14:D14"/>
    <mergeCell ref="I14:J14"/>
    <mergeCell ref="A15:D15"/>
    <mergeCell ref="D1:J1"/>
    <mergeCell ref="D2:I2"/>
    <mergeCell ref="I4:J4"/>
    <mergeCell ref="E7:F7"/>
    <mergeCell ref="E8:F8"/>
    <mergeCell ref="E9:F9"/>
    <mergeCell ref="A4:D4"/>
    <mergeCell ref="A5:D5"/>
    <mergeCell ref="E5:F5"/>
    <mergeCell ref="E6:F6"/>
  </mergeCells>
  <phoneticPr fontId="18"/>
  <hyperlinks>
    <hyperlink ref="J16" r:id="rId1" display="mitsumori\gurandehagakure_heyadai2.pdf" xr:uid="{6DB30E37-48BF-4653-B69A-95FF3FAD17E0}"/>
    <hyperlink ref="J17" r:id="rId2" display="mitsumori\gurandehagakure_heyadai2.pdf" xr:uid="{E45A280C-77EF-4A8C-80DE-843EEC1BA28E}"/>
    <hyperlink ref="J20" r:id="rId3" display="mitsumori\gurandehagakure_heyadai2.pdf" xr:uid="{29AF3549-5D91-4E7B-9BB5-AEBA41B2C55F}"/>
    <hyperlink ref="J24" r:id="rId4" display="mitsumori\gurandehagakure_heyadai2.pdf" xr:uid="{A8D328EE-904D-46C1-8E21-DC8DF99151B3}"/>
    <hyperlink ref="J21" r:id="rId5" display="mitsumori\teensmyujikaru_mitumori2.pdf" xr:uid="{0EEDD2D1-7380-4EA6-9D36-A60FB2C7DC98}"/>
    <hyperlink ref="J25" r:id="rId6" display="mitsumori\kitte_ryousyuusyo2.pdf" xr:uid="{64430347-9C31-49FA-B4AD-C60F597ABC7C}"/>
  </hyperlinks>
  <printOptions horizontalCentered="1"/>
  <pageMargins left="0.79" right="0.79" top="0.98" bottom="0.55000000000000004" header="0.51" footer="0.51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F6409-0E44-4A08-B3AD-8DC98E9A80DB}">
  <dimension ref="A1:F37"/>
  <sheetViews>
    <sheetView topLeftCell="A10" workbookViewId="0">
      <selection activeCell="G27" sqref="G27"/>
    </sheetView>
  </sheetViews>
  <sheetFormatPr defaultColWidth="13" defaultRowHeight="13.2" x14ac:dyDescent="0.2"/>
  <cols>
    <col min="1" max="1" width="18.6640625" style="197" customWidth="1"/>
    <col min="2" max="5" width="13.6640625" style="197" customWidth="1"/>
    <col min="6" max="256" width="13" style="197"/>
    <col min="257" max="257" width="18.6640625" style="197" customWidth="1"/>
    <col min="258" max="261" width="13.6640625" style="197" customWidth="1"/>
    <col min="262" max="512" width="13" style="197"/>
    <col min="513" max="513" width="18.6640625" style="197" customWidth="1"/>
    <col min="514" max="517" width="13.6640625" style="197" customWidth="1"/>
    <col min="518" max="768" width="13" style="197"/>
    <col min="769" max="769" width="18.6640625" style="197" customWidth="1"/>
    <col min="770" max="773" width="13.6640625" style="197" customWidth="1"/>
    <col min="774" max="1024" width="13" style="197"/>
    <col min="1025" max="1025" width="18.6640625" style="197" customWidth="1"/>
    <col min="1026" max="1029" width="13.6640625" style="197" customWidth="1"/>
    <col min="1030" max="1280" width="13" style="197"/>
    <col min="1281" max="1281" width="18.6640625" style="197" customWidth="1"/>
    <col min="1282" max="1285" width="13.6640625" style="197" customWidth="1"/>
    <col min="1286" max="1536" width="13" style="197"/>
    <col min="1537" max="1537" width="18.6640625" style="197" customWidth="1"/>
    <col min="1538" max="1541" width="13.6640625" style="197" customWidth="1"/>
    <col min="1542" max="1792" width="13" style="197"/>
    <col min="1793" max="1793" width="18.6640625" style="197" customWidth="1"/>
    <col min="1794" max="1797" width="13.6640625" style="197" customWidth="1"/>
    <col min="1798" max="2048" width="13" style="197"/>
    <col min="2049" max="2049" width="18.6640625" style="197" customWidth="1"/>
    <col min="2050" max="2053" width="13.6640625" style="197" customWidth="1"/>
    <col min="2054" max="2304" width="13" style="197"/>
    <col min="2305" max="2305" width="18.6640625" style="197" customWidth="1"/>
    <col min="2306" max="2309" width="13.6640625" style="197" customWidth="1"/>
    <col min="2310" max="2560" width="13" style="197"/>
    <col min="2561" max="2561" width="18.6640625" style="197" customWidth="1"/>
    <col min="2562" max="2565" width="13.6640625" style="197" customWidth="1"/>
    <col min="2566" max="2816" width="13" style="197"/>
    <col min="2817" max="2817" width="18.6640625" style="197" customWidth="1"/>
    <col min="2818" max="2821" width="13.6640625" style="197" customWidth="1"/>
    <col min="2822" max="3072" width="13" style="197"/>
    <col min="3073" max="3073" width="18.6640625" style="197" customWidth="1"/>
    <col min="3074" max="3077" width="13.6640625" style="197" customWidth="1"/>
    <col min="3078" max="3328" width="13" style="197"/>
    <col min="3329" max="3329" width="18.6640625" style="197" customWidth="1"/>
    <col min="3330" max="3333" width="13.6640625" style="197" customWidth="1"/>
    <col min="3334" max="3584" width="13" style="197"/>
    <col min="3585" max="3585" width="18.6640625" style="197" customWidth="1"/>
    <col min="3586" max="3589" width="13.6640625" style="197" customWidth="1"/>
    <col min="3590" max="3840" width="13" style="197"/>
    <col min="3841" max="3841" width="18.6640625" style="197" customWidth="1"/>
    <col min="3842" max="3845" width="13.6640625" style="197" customWidth="1"/>
    <col min="3846" max="4096" width="13" style="197"/>
    <col min="4097" max="4097" width="18.6640625" style="197" customWidth="1"/>
    <col min="4098" max="4101" width="13.6640625" style="197" customWidth="1"/>
    <col min="4102" max="4352" width="13" style="197"/>
    <col min="4353" max="4353" width="18.6640625" style="197" customWidth="1"/>
    <col min="4354" max="4357" width="13.6640625" style="197" customWidth="1"/>
    <col min="4358" max="4608" width="13" style="197"/>
    <col min="4609" max="4609" width="18.6640625" style="197" customWidth="1"/>
    <col min="4610" max="4613" width="13.6640625" style="197" customWidth="1"/>
    <col min="4614" max="4864" width="13" style="197"/>
    <col min="4865" max="4865" width="18.6640625" style="197" customWidth="1"/>
    <col min="4866" max="4869" width="13.6640625" style="197" customWidth="1"/>
    <col min="4870" max="5120" width="13" style="197"/>
    <col min="5121" max="5121" width="18.6640625" style="197" customWidth="1"/>
    <col min="5122" max="5125" width="13.6640625" style="197" customWidth="1"/>
    <col min="5126" max="5376" width="13" style="197"/>
    <col min="5377" max="5377" width="18.6640625" style="197" customWidth="1"/>
    <col min="5378" max="5381" width="13.6640625" style="197" customWidth="1"/>
    <col min="5382" max="5632" width="13" style="197"/>
    <col min="5633" max="5633" width="18.6640625" style="197" customWidth="1"/>
    <col min="5634" max="5637" width="13.6640625" style="197" customWidth="1"/>
    <col min="5638" max="5888" width="13" style="197"/>
    <col min="5889" max="5889" width="18.6640625" style="197" customWidth="1"/>
    <col min="5890" max="5893" width="13.6640625" style="197" customWidth="1"/>
    <col min="5894" max="6144" width="13" style="197"/>
    <col min="6145" max="6145" width="18.6640625" style="197" customWidth="1"/>
    <col min="6146" max="6149" width="13.6640625" style="197" customWidth="1"/>
    <col min="6150" max="6400" width="13" style="197"/>
    <col min="6401" max="6401" width="18.6640625" style="197" customWidth="1"/>
    <col min="6402" max="6405" width="13.6640625" style="197" customWidth="1"/>
    <col min="6406" max="6656" width="13" style="197"/>
    <col min="6657" max="6657" width="18.6640625" style="197" customWidth="1"/>
    <col min="6658" max="6661" width="13.6640625" style="197" customWidth="1"/>
    <col min="6662" max="6912" width="13" style="197"/>
    <col min="6913" max="6913" width="18.6640625" style="197" customWidth="1"/>
    <col min="6914" max="6917" width="13.6640625" style="197" customWidth="1"/>
    <col min="6918" max="7168" width="13" style="197"/>
    <col min="7169" max="7169" width="18.6640625" style="197" customWidth="1"/>
    <col min="7170" max="7173" width="13.6640625" style="197" customWidth="1"/>
    <col min="7174" max="7424" width="13" style="197"/>
    <col min="7425" max="7425" width="18.6640625" style="197" customWidth="1"/>
    <col min="7426" max="7429" width="13.6640625" style="197" customWidth="1"/>
    <col min="7430" max="7680" width="13" style="197"/>
    <col min="7681" max="7681" width="18.6640625" style="197" customWidth="1"/>
    <col min="7682" max="7685" width="13.6640625" style="197" customWidth="1"/>
    <col min="7686" max="7936" width="13" style="197"/>
    <col min="7937" max="7937" width="18.6640625" style="197" customWidth="1"/>
    <col min="7938" max="7941" width="13.6640625" style="197" customWidth="1"/>
    <col min="7942" max="8192" width="13" style="197"/>
    <col min="8193" max="8193" width="18.6640625" style="197" customWidth="1"/>
    <col min="8194" max="8197" width="13.6640625" style="197" customWidth="1"/>
    <col min="8198" max="8448" width="13" style="197"/>
    <col min="8449" max="8449" width="18.6640625" style="197" customWidth="1"/>
    <col min="8450" max="8453" width="13.6640625" style="197" customWidth="1"/>
    <col min="8454" max="8704" width="13" style="197"/>
    <col min="8705" max="8705" width="18.6640625" style="197" customWidth="1"/>
    <col min="8706" max="8709" width="13.6640625" style="197" customWidth="1"/>
    <col min="8710" max="8960" width="13" style="197"/>
    <col min="8961" max="8961" width="18.6640625" style="197" customWidth="1"/>
    <col min="8962" max="8965" width="13.6640625" style="197" customWidth="1"/>
    <col min="8966" max="9216" width="13" style="197"/>
    <col min="9217" max="9217" width="18.6640625" style="197" customWidth="1"/>
    <col min="9218" max="9221" width="13.6640625" style="197" customWidth="1"/>
    <col min="9222" max="9472" width="13" style="197"/>
    <col min="9473" max="9473" width="18.6640625" style="197" customWidth="1"/>
    <col min="9474" max="9477" width="13.6640625" style="197" customWidth="1"/>
    <col min="9478" max="9728" width="13" style="197"/>
    <col min="9729" max="9729" width="18.6640625" style="197" customWidth="1"/>
    <col min="9730" max="9733" width="13.6640625" style="197" customWidth="1"/>
    <col min="9734" max="9984" width="13" style="197"/>
    <col min="9985" max="9985" width="18.6640625" style="197" customWidth="1"/>
    <col min="9986" max="9989" width="13.6640625" style="197" customWidth="1"/>
    <col min="9990" max="10240" width="13" style="197"/>
    <col min="10241" max="10241" width="18.6640625" style="197" customWidth="1"/>
    <col min="10242" max="10245" width="13.6640625" style="197" customWidth="1"/>
    <col min="10246" max="10496" width="13" style="197"/>
    <col min="10497" max="10497" width="18.6640625" style="197" customWidth="1"/>
    <col min="10498" max="10501" width="13.6640625" style="197" customWidth="1"/>
    <col min="10502" max="10752" width="13" style="197"/>
    <col min="10753" max="10753" width="18.6640625" style="197" customWidth="1"/>
    <col min="10754" max="10757" width="13.6640625" style="197" customWidth="1"/>
    <col min="10758" max="11008" width="13" style="197"/>
    <col min="11009" max="11009" width="18.6640625" style="197" customWidth="1"/>
    <col min="11010" max="11013" width="13.6640625" style="197" customWidth="1"/>
    <col min="11014" max="11264" width="13" style="197"/>
    <col min="11265" max="11265" width="18.6640625" style="197" customWidth="1"/>
    <col min="11266" max="11269" width="13.6640625" style="197" customWidth="1"/>
    <col min="11270" max="11520" width="13" style="197"/>
    <col min="11521" max="11521" width="18.6640625" style="197" customWidth="1"/>
    <col min="11522" max="11525" width="13.6640625" style="197" customWidth="1"/>
    <col min="11526" max="11776" width="13" style="197"/>
    <col min="11777" max="11777" width="18.6640625" style="197" customWidth="1"/>
    <col min="11778" max="11781" width="13.6640625" style="197" customWidth="1"/>
    <col min="11782" max="12032" width="13" style="197"/>
    <col min="12033" max="12033" width="18.6640625" style="197" customWidth="1"/>
    <col min="12034" max="12037" width="13.6640625" style="197" customWidth="1"/>
    <col min="12038" max="12288" width="13" style="197"/>
    <col min="12289" max="12289" width="18.6640625" style="197" customWidth="1"/>
    <col min="12290" max="12293" width="13.6640625" style="197" customWidth="1"/>
    <col min="12294" max="12544" width="13" style="197"/>
    <col min="12545" max="12545" width="18.6640625" style="197" customWidth="1"/>
    <col min="12546" max="12549" width="13.6640625" style="197" customWidth="1"/>
    <col min="12550" max="12800" width="13" style="197"/>
    <col min="12801" max="12801" width="18.6640625" style="197" customWidth="1"/>
    <col min="12802" max="12805" width="13.6640625" style="197" customWidth="1"/>
    <col min="12806" max="13056" width="13" style="197"/>
    <col min="13057" max="13057" width="18.6640625" style="197" customWidth="1"/>
    <col min="13058" max="13061" width="13.6640625" style="197" customWidth="1"/>
    <col min="13062" max="13312" width="13" style="197"/>
    <col min="13313" max="13313" width="18.6640625" style="197" customWidth="1"/>
    <col min="13314" max="13317" width="13.6640625" style="197" customWidth="1"/>
    <col min="13318" max="13568" width="13" style="197"/>
    <col min="13569" max="13569" width="18.6640625" style="197" customWidth="1"/>
    <col min="13570" max="13573" width="13.6640625" style="197" customWidth="1"/>
    <col min="13574" max="13824" width="13" style="197"/>
    <col min="13825" max="13825" width="18.6640625" style="197" customWidth="1"/>
    <col min="13826" max="13829" width="13.6640625" style="197" customWidth="1"/>
    <col min="13830" max="14080" width="13" style="197"/>
    <col min="14081" max="14081" width="18.6640625" style="197" customWidth="1"/>
    <col min="14082" max="14085" width="13.6640625" style="197" customWidth="1"/>
    <col min="14086" max="14336" width="13" style="197"/>
    <col min="14337" max="14337" width="18.6640625" style="197" customWidth="1"/>
    <col min="14338" max="14341" width="13.6640625" style="197" customWidth="1"/>
    <col min="14342" max="14592" width="13" style="197"/>
    <col min="14593" max="14593" width="18.6640625" style="197" customWidth="1"/>
    <col min="14594" max="14597" width="13.6640625" style="197" customWidth="1"/>
    <col min="14598" max="14848" width="13" style="197"/>
    <col min="14849" max="14849" width="18.6640625" style="197" customWidth="1"/>
    <col min="14850" max="14853" width="13.6640625" style="197" customWidth="1"/>
    <col min="14854" max="15104" width="13" style="197"/>
    <col min="15105" max="15105" width="18.6640625" style="197" customWidth="1"/>
    <col min="15106" max="15109" width="13.6640625" style="197" customWidth="1"/>
    <col min="15110" max="15360" width="13" style="197"/>
    <col min="15361" max="15361" width="18.6640625" style="197" customWidth="1"/>
    <col min="15362" max="15365" width="13.6640625" style="197" customWidth="1"/>
    <col min="15366" max="15616" width="13" style="197"/>
    <col min="15617" max="15617" width="18.6640625" style="197" customWidth="1"/>
    <col min="15618" max="15621" width="13.6640625" style="197" customWidth="1"/>
    <col min="15622" max="15872" width="13" style="197"/>
    <col min="15873" max="15873" width="18.6640625" style="197" customWidth="1"/>
    <col min="15874" max="15877" width="13.6640625" style="197" customWidth="1"/>
    <col min="15878" max="16128" width="13" style="197"/>
    <col min="16129" max="16129" width="18.6640625" style="197" customWidth="1"/>
    <col min="16130" max="16133" width="13.6640625" style="197" customWidth="1"/>
    <col min="16134" max="16384" width="13" style="197"/>
  </cols>
  <sheetData>
    <row r="1" spans="1:6" x14ac:dyDescent="0.2">
      <c r="A1" s="196" t="s">
        <v>234</v>
      </c>
      <c r="B1" s="196"/>
      <c r="C1" s="196"/>
      <c r="D1" s="196"/>
      <c r="E1" s="196"/>
      <c r="F1" s="196"/>
    </row>
    <row r="2" spans="1:6" ht="16.2" x14ac:dyDescent="0.2">
      <c r="A2" s="246" t="s">
        <v>235</v>
      </c>
      <c r="B2" s="246"/>
      <c r="C2" s="246"/>
      <c r="D2" s="246"/>
      <c r="E2" s="246"/>
      <c r="F2" s="246"/>
    </row>
    <row r="3" spans="1:6" x14ac:dyDescent="0.2">
      <c r="A3" s="227"/>
      <c r="B3" s="227"/>
      <c r="C3" s="227"/>
      <c r="D3" s="227"/>
      <c r="E3" s="227"/>
    </row>
    <row r="4" spans="1:6" x14ac:dyDescent="0.2">
      <c r="A4" s="247" t="s">
        <v>259</v>
      </c>
      <c r="B4" s="247"/>
      <c r="C4" s="247"/>
      <c r="D4" s="247"/>
      <c r="E4" s="247"/>
    </row>
    <row r="5" spans="1:6" x14ac:dyDescent="0.2">
      <c r="A5" s="227"/>
      <c r="B5" s="227"/>
      <c r="C5" s="227"/>
      <c r="D5" s="227"/>
      <c r="E5" s="227"/>
    </row>
    <row r="6" spans="1:6" ht="13.8" thickBot="1" x14ac:dyDescent="0.25">
      <c r="A6" s="227" t="s">
        <v>236</v>
      </c>
      <c r="B6" s="227"/>
      <c r="C6" s="227"/>
      <c r="D6" s="227"/>
      <c r="E6" s="227"/>
      <c r="F6" s="228" t="s">
        <v>165</v>
      </c>
    </row>
    <row r="7" spans="1:6" ht="26.4" x14ac:dyDescent="0.2">
      <c r="A7" s="148" t="s">
        <v>237</v>
      </c>
      <c r="B7" s="248" t="s">
        <v>238</v>
      </c>
      <c r="C7" s="249" t="s">
        <v>239</v>
      </c>
      <c r="D7" s="250" t="s">
        <v>240</v>
      </c>
      <c r="E7" s="250" t="s">
        <v>241</v>
      </c>
      <c r="F7" s="250" t="s">
        <v>242</v>
      </c>
    </row>
    <row r="8" spans="1:6" x14ac:dyDescent="0.2">
      <c r="A8" s="251" t="s">
        <v>243</v>
      </c>
      <c r="B8" s="252">
        <f>SUM(C8)</f>
        <v>0</v>
      </c>
      <c r="C8" s="253"/>
      <c r="D8" s="218"/>
      <c r="E8" s="254"/>
      <c r="F8" s="218"/>
    </row>
    <row r="9" spans="1:6" x14ac:dyDescent="0.2">
      <c r="A9" s="251" t="s">
        <v>244</v>
      </c>
      <c r="B9" s="252">
        <f>SUM(E9)</f>
        <v>0</v>
      </c>
      <c r="C9" s="218"/>
      <c r="D9" s="218"/>
      <c r="E9" s="253"/>
      <c r="F9" s="218"/>
    </row>
    <row r="10" spans="1:6" ht="20.100000000000001" customHeight="1" x14ac:dyDescent="0.2">
      <c r="A10" s="251" t="s">
        <v>245</v>
      </c>
      <c r="B10" s="252">
        <f>SUM(E10)</f>
        <v>0</v>
      </c>
      <c r="C10" s="218"/>
      <c r="D10" s="218"/>
      <c r="E10" s="253"/>
      <c r="F10" s="218"/>
    </row>
    <row r="11" spans="1:6" ht="20.100000000000001" customHeight="1" x14ac:dyDescent="0.2">
      <c r="A11" s="251" t="s">
        <v>246</v>
      </c>
      <c r="B11" s="252">
        <f>SUM(C11)</f>
        <v>0</v>
      </c>
      <c r="C11" s="253"/>
      <c r="D11" s="218"/>
      <c r="E11" s="218"/>
      <c r="F11" s="218"/>
    </row>
    <row r="12" spans="1:6" x14ac:dyDescent="0.2">
      <c r="A12" s="251" t="s">
        <v>247</v>
      </c>
      <c r="B12" s="252">
        <f>SUM(C12)</f>
        <v>0</v>
      </c>
      <c r="C12" s="253"/>
      <c r="D12" s="218"/>
      <c r="E12" s="218"/>
      <c r="F12" s="218"/>
    </row>
    <row r="13" spans="1:6" ht="20.100000000000001" customHeight="1" x14ac:dyDescent="0.2">
      <c r="A13" s="251" t="s">
        <v>248</v>
      </c>
      <c r="B13" s="252">
        <f>SUM(C13)</f>
        <v>0</v>
      </c>
      <c r="C13" s="253"/>
      <c r="D13" s="218"/>
      <c r="E13" s="218"/>
      <c r="F13" s="218"/>
    </row>
    <row r="14" spans="1:6" x14ac:dyDescent="0.2">
      <c r="A14" s="251" t="s">
        <v>249</v>
      </c>
      <c r="B14" s="252">
        <v>111630</v>
      </c>
      <c r="C14" s="218"/>
      <c r="D14" s="218"/>
      <c r="E14" s="218"/>
      <c r="F14" s="253"/>
    </row>
    <row r="15" spans="1:6" ht="13.8" thickBot="1" x14ac:dyDescent="0.25">
      <c r="A15" s="255" t="s">
        <v>250</v>
      </c>
      <c r="B15" s="256">
        <f>SUM(C15:F15)</f>
        <v>0</v>
      </c>
      <c r="C15" s="257"/>
      <c r="D15" s="257"/>
      <c r="E15" s="257"/>
      <c r="F15" s="257"/>
    </row>
    <row r="16" spans="1:6" ht="14.4" thickTop="1" thickBot="1" x14ac:dyDescent="0.25">
      <c r="A16" s="251" t="s">
        <v>148</v>
      </c>
      <c r="B16" s="258">
        <f>SUM(B8:B15)</f>
        <v>111630</v>
      </c>
      <c r="C16" s="253">
        <f>SUM(C8:C15)</f>
        <v>0</v>
      </c>
      <c r="D16" s="253">
        <f>SUM(D8:D15)</f>
        <v>0</v>
      </c>
      <c r="E16" s="253">
        <f>SUM(E8:E15)</f>
        <v>0</v>
      </c>
      <c r="F16" s="253">
        <f>SUM(F8:F15)</f>
        <v>0</v>
      </c>
    </row>
    <row r="17" spans="1:5" x14ac:dyDescent="0.2">
      <c r="A17" s="227"/>
      <c r="B17" s="227"/>
      <c r="C17" s="227"/>
      <c r="D17" s="227"/>
      <c r="E17" s="227"/>
    </row>
    <row r="18" spans="1:5" ht="13.8" thickBot="1" x14ac:dyDescent="0.25">
      <c r="A18" s="227" t="s">
        <v>251</v>
      </c>
      <c r="B18" s="227"/>
      <c r="C18" s="227"/>
      <c r="D18" s="228" t="s">
        <v>165</v>
      </c>
      <c r="E18" s="227"/>
    </row>
    <row r="19" spans="1:5" ht="26.4" x14ac:dyDescent="0.2">
      <c r="A19" s="148" t="s">
        <v>237</v>
      </c>
      <c r="B19" s="259" t="s">
        <v>252</v>
      </c>
      <c r="C19" s="249" t="s">
        <v>253</v>
      </c>
      <c r="D19" s="260" t="s">
        <v>254</v>
      </c>
      <c r="E19" s="227"/>
    </row>
    <row r="20" spans="1:5" x14ac:dyDescent="0.2">
      <c r="A20" s="261" t="s">
        <v>149</v>
      </c>
      <c r="B20" s="271">
        <v>46948</v>
      </c>
      <c r="C20" s="263"/>
      <c r="D20" s="264"/>
      <c r="E20" s="227"/>
    </row>
    <row r="21" spans="1:5" x14ac:dyDescent="0.2">
      <c r="A21" s="261" t="s">
        <v>151</v>
      </c>
      <c r="B21" s="272">
        <v>36050</v>
      </c>
      <c r="C21" s="263"/>
      <c r="D21" s="264"/>
      <c r="E21" s="227"/>
    </row>
    <row r="22" spans="1:5" x14ac:dyDescent="0.2">
      <c r="A22" s="261" t="s">
        <v>152</v>
      </c>
      <c r="B22" s="262">
        <f>SUM(C22:D22)</f>
        <v>0</v>
      </c>
      <c r="C22" s="263"/>
      <c r="D22" s="264"/>
      <c r="E22" s="227"/>
    </row>
    <row r="23" spans="1:5" x14ac:dyDescent="0.2">
      <c r="A23" s="261" t="s">
        <v>153</v>
      </c>
      <c r="B23" s="262">
        <f t="shared" ref="B23:B31" si="0">SUM(C23:D23)</f>
        <v>0</v>
      </c>
      <c r="C23" s="263"/>
      <c r="D23" s="264"/>
      <c r="E23" s="227"/>
    </row>
    <row r="24" spans="1:5" ht="20.100000000000001" customHeight="1" x14ac:dyDescent="0.2">
      <c r="A24" s="261" t="s">
        <v>154</v>
      </c>
      <c r="B24" s="262">
        <f t="shared" si="0"/>
        <v>0</v>
      </c>
      <c r="C24" s="263"/>
      <c r="D24" s="264"/>
      <c r="E24" s="227"/>
    </row>
    <row r="25" spans="1:5" x14ac:dyDescent="0.2">
      <c r="A25" s="261" t="s">
        <v>155</v>
      </c>
      <c r="B25" s="262">
        <f t="shared" si="0"/>
        <v>0</v>
      </c>
      <c r="C25" s="263"/>
      <c r="D25" s="264"/>
      <c r="E25" s="227"/>
    </row>
    <row r="26" spans="1:5" x14ac:dyDescent="0.2">
      <c r="A26" s="261" t="s">
        <v>156</v>
      </c>
      <c r="B26" s="262">
        <f t="shared" si="0"/>
        <v>0</v>
      </c>
      <c r="C26" s="263"/>
      <c r="D26" s="264"/>
      <c r="E26" s="227"/>
    </row>
    <row r="27" spans="1:5" ht="20.100000000000001" customHeight="1" x14ac:dyDescent="0.2">
      <c r="A27" s="261" t="s">
        <v>255</v>
      </c>
      <c r="B27" s="262">
        <f t="shared" si="0"/>
        <v>0</v>
      </c>
      <c r="C27" s="263"/>
      <c r="D27" s="264"/>
      <c r="E27" s="227"/>
    </row>
    <row r="28" spans="1:5" x14ac:dyDescent="0.2">
      <c r="A28" s="261" t="s">
        <v>158</v>
      </c>
      <c r="B28" s="262">
        <f t="shared" si="0"/>
        <v>0</v>
      </c>
      <c r="C28" s="263"/>
      <c r="D28" s="264"/>
      <c r="E28" s="227"/>
    </row>
    <row r="29" spans="1:5" x14ac:dyDescent="0.2">
      <c r="A29" s="261" t="s">
        <v>159</v>
      </c>
      <c r="B29" s="262">
        <f t="shared" si="0"/>
        <v>0</v>
      </c>
      <c r="C29" s="263"/>
      <c r="D29" s="264"/>
      <c r="E29" s="227"/>
    </row>
    <row r="30" spans="1:5" ht="20.100000000000001" customHeight="1" x14ac:dyDescent="0.2">
      <c r="A30" s="261" t="s">
        <v>160</v>
      </c>
      <c r="B30" s="262">
        <f t="shared" si="0"/>
        <v>0</v>
      </c>
      <c r="C30" s="263"/>
      <c r="D30" s="264"/>
      <c r="E30" s="227"/>
    </row>
    <row r="31" spans="1:5" ht="20.100000000000001" customHeight="1" x14ac:dyDescent="0.2">
      <c r="A31" s="261" t="s">
        <v>161</v>
      </c>
      <c r="B31" s="272">
        <v>28632</v>
      </c>
      <c r="C31" s="263"/>
      <c r="D31" s="264"/>
      <c r="E31" s="227"/>
    </row>
    <row r="32" spans="1:5" ht="13.8" thickBot="1" x14ac:dyDescent="0.25">
      <c r="A32" s="255" t="s">
        <v>162</v>
      </c>
      <c r="B32" s="256">
        <f>SUM(C32:D32)</f>
        <v>0</v>
      </c>
      <c r="C32" s="257"/>
      <c r="D32" s="265"/>
      <c r="E32" s="227"/>
    </row>
    <row r="33" spans="1:5" ht="14.4" thickTop="1" thickBot="1" x14ac:dyDescent="0.25">
      <c r="A33" s="251" t="s">
        <v>256</v>
      </c>
      <c r="B33" s="258">
        <f>SUM(B20:B32)</f>
        <v>111630</v>
      </c>
      <c r="C33" s="253">
        <f>SUM(C20:C32)</f>
        <v>0</v>
      </c>
      <c r="D33" s="266">
        <f>SUM(D20:D32)</f>
        <v>0</v>
      </c>
      <c r="E33" s="227"/>
    </row>
    <row r="34" spans="1:5" ht="13.8" thickBot="1" x14ac:dyDescent="0.25">
      <c r="A34" s="267"/>
      <c r="B34" s="268"/>
      <c r="C34" s="268"/>
      <c r="D34" s="227"/>
      <c r="E34" s="227"/>
    </row>
    <row r="35" spans="1:5" ht="13.8" thickBot="1" x14ac:dyDescent="0.25">
      <c r="A35" s="269" t="s">
        <v>257</v>
      </c>
      <c r="B35" s="270">
        <f>B16-B33</f>
        <v>0</v>
      </c>
      <c r="C35" s="268"/>
      <c r="D35" s="227"/>
      <c r="E35" s="227"/>
    </row>
    <row r="36" spans="1:5" ht="6.75" customHeight="1" x14ac:dyDescent="0.2">
      <c r="A36" s="227"/>
      <c r="B36" s="227"/>
      <c r="C36" s="227"/>
      <c r="D36" s="227"/>
      <c r="E36" s="227"/>
    </row>
    <row r="37" spans="1:5" x14ac:dyDescent="0.2">
      <c r="A37" s="227" t="s">
        <v>258</v>
      </c>
      <c r="B37" s="227"/>
      <c r="C37" s="227"/>
      <c r="D37" s="227"/>
      <c r="E37" s="227"/>
    </row>
  </sheetData>
  <mergeCells count="3">
    <mergeCell ref="A1:F1"/>
    <mergeCell ref="A2:F2"/>
    <mergeCell ref="A4:E4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財審様式</vt:lpstr>
      <vt:lpstr>委員会年間事業予算管理表(様式1)</vt:lpstr>
      <vt:lpstr>見積企業一覧表(様式5)</vt:lpstr>
      <vt:lpstr>収支予算書(様式１０)</vt:lpstr>
      <vt:lpstr>収益・費用明細書(様式１１)</vt:lpstr>
      <vt:lpstr>消費税等計算シート（様式１３）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スズキスタイル</dc:creator>
  <cp:lastModifiedBy>スズキスタイル</cp:lastModifiedBy>
  <dcterms:created xsi:type="dcterms:W3CDTF">2021-11-14T13:34:46Z</dcterms:created>
  <dcterms:modified xsi:type="dcterms:W3CDTF">2022-03-16T06:42:44Z</dcterms:modified>
</cp:coreProperties>
</file>