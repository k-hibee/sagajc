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FUJITSU\Dropbox\2022年　ビジネス・防災対策\0995-01K-121K(sinnenkai)\yosan\"/>
    </mc:Choice>
  </mc:AlternateContent>
  <xr:revisionPtr revIDLastSave="0" documentId="13_ncr:1_{853A1CC3-8165-404A-A4DD-FCFF7ABE81AC}" xr6:coauthVersionLast="47" xr6:coauthVersionMax="47" xr10:uidLastSave="{00000000-0000-0000-0000-000000000000}"/>
  <bookViews>
    <workbookView xWindow="-110" yWindow="-110" windowWidth="19420" windowHeight="10420" tabRatio="874" activeTab="1" xr2:uid="{00000000-000D-0000-FFFF-FFFF00000000}"/>
  </bookViews>
  <sheets>
    <sheet name="財審様式" sheetId="1" r:id="rId1"/>
    <sheet name="委員会年間事業予算管理表(様式1)" sheetId="2" r:id="rId2"/>
    <sheet name="収支予算書(様式3)" sheetId="3" r:id="rId3"/>
    <sheet name="収益・費用明細書(様式4)" sheetId="4" r:id="rId4"/>
    <sheet name="見積企業一覧表(様式5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3" l="1"/>
  <c r="C32" i="3"/>
  <c r="D16" i="3"/>
  <c r="E16" i="3"/>
  <c r="C16" i="3"/>
  <c r="G7" i="4"/>
  <c r="N18" i="2"/>
  <c r="N17" i="2"/>
  <c r="D10" i="5"/>
  <c r="C29" i="3"/>
  <c r="C19" i="3"/>
  <c r="G24" i="4"/>
  <c r="C31" i="3" s="1"/>
  <c r="G22" i="4"/>
  <c r="G15" i="4"/>
  <c r="C18" i="3" s="1"/>
  <c r="G25" i="4" l="1"/>
</calcChain>
</file>

<file path=xl/sharedStrings.xml><?xml version="1.0" encoding="utf-8"?>
<sst xmlns="http://schemas.openxmlformats.org/spreadsheetml/2006/main" count="548" uniqueCount="240">
  <si>
    <t>２０１９年度　財審様式フォーム</t>
    <rPh sb="4" eb="6">
      <t>ネンド</t>
    </rPh>
    <rPh sb="7" eb="8">
      <t>ザイ</t>
    </rPh>
    <rPh sb="8" eb="9">
      <t>シン</t>
    </rPh>
    <rPh sb="9" eb="10">
      <t>ヨウ</t>
    </rPh>
    <rPh sb="10" eb="11">
      <t>シキ</t>
    </rPh>
    <phoneticPr fontId="18"/>
  </si>
  <si>
    <t>様式
番号</t>
    <rPh sb="0" eb="2">
      <t>ヨウシキ</t>
    </rPh>
    <rPh sb="3" eb="5">
      <t>バンゴウ</t>
    </rPh>
    <phoneticPr fontId="18"/>
  </si>
  <si>
    <t>様式名称</t>
    <rPh sb="0" eb="2">
      <t>ヨウシキ</t>
    </rPh>
    <rPh sb="2" eb="4">
      <t>メイショウ</t>
    </rPh>
    <phoneticPr fontId="18"/>
  </si>
  <si>
    <t>摘　　　　　要</t>
    <rPh sb="0" eb="1">
      <t>テキ</t>
    </rPh>
    <rPh sb="6" eb="7">
      <t>ヨウ</t>
    </rPh>
    <phoneticPr fontId="18"/>
  </si>
  <si>
    <t xml:space="preserve"> </t>
  </si>
  <si>
    <t>事業会計関連様式</t>
    <rPh sb="0" eb="2">
      <t>ジギョウ</t>
    </rPh>
    <rPh sb="2" eb="4">
      <t>カイケイ</t>
    </rPh>
    <rPh sb="4" eb="8">
      <t>カンレンヨウシキ</t>
    </rPh>
    <phoneticPr fontId="18"/>
  </si>
  <si>
    <t>協議</t>
    <rPh sb="0" eb="2">
      <t>キョウギ</t>
    </rPh>
    <phoneticPr fontId="18"/>
  </si>
  <si>
    <t>審議</t>
    <rPh sb="0" eb="2">
      <t>シンギ</t>
    </rPh>
    <phoneticPr fontId="18"/>
  </si>
  <si>
    <t>修正</t>
    <rPh sb="0" eb="2">
      <t>シュウセイ</t>
    </rPh>
    <phoneticPr fontId="18"/>
  </si>
  <si>
    <t>補正</t>
    <rPh sb="0" eb="2">
      <t>ホセイ</t>
    </rPh>
    <phoneticPr fontId="18"/>
  </si>
  <si>
    <t>決算</t>
    <rPh sb="0" eb="2">
      <t>ケッサン</t>
    </rPh>
    <phoneticPr fontId="18"/>
  </si>
  <si>
    <t>デ</t>
  </si>
  <si>
    <t>紙</t>
    <rPh sb="0" eb="1">
      <t>カミ</t>
    </rPh>
    <phoneticPr fontId="18"/>
  </si>
  <si>
    <t>※議案上程に必要な資料　デ＝デジタル資料　紙＝紙資料　</t>
    <rPh sb="1" eb="3">
      <t>ギアン</t>
    </rPh>
    <rPh sb="3" eb="5">
      <t>ジョウテイ</t>
    </rPh>
    <rPh sb="6" eb="8">
      <t>ヒツヨウ</t>
    </rPh>
    <rPh sb="9" eb="11">
      <t>シリョウ</t>
    </rPh>
    <rPh sb="18" eb="20">
      <t>シリョウ</t>
    </rPh>
    <rPh sb="21" eb="22">
      <t>カミ</t>
    </rPh>
    <rPh sb="23" eb="24">
      <t>カミ</t>
    </rPh>
    <rPh sb="24" eb="26">
      <t>シリョウ</t>
    </rPh>
    <phoneticPr fontId="18"/>
  </si>
  <si>
    <t>事業計画書・事業報告書（議案書）</t>
    <rPh sb="0" eb="2">
      <t>ジギョウ</t>
    </rPh>
    <rPh sb="2" eb="5">
      <t>ケイカクショ</t>
    </rPh>
    <rPh sb="6" eb="8">
      <t>ジギョウ</t>
    </rPh>
    <rPh sb="8" eb="11">
      <t>ホウコクショ</t>
    </rPh>
    <rPh sb="12" eb="14">
      <t>ギアン</t>
    </rPh>
    <rPh sb="14" eb="15">
      <t>ショ</t>
    </rPh>
    <phoneticPr fontId="18"/>
  </si>
  <si>
    <t>◎</t>
  </si>
  <si>
    <t>－</t>
  </si>
  <si>
    <t>※◎＝必要　○＝条件または事業により必要</t>
    <rPh sb="13" eb="15">
      <t>ジギョウ</t>
    </rPh>
    <phoneticPr fontId="18"/>
  </si>
  <si>
    <t>財審様式（本シート）</t>
    <rPh sb="0" eb="1">
      <t>ザイ</t>
    </rPh>
    <rPh sb="1" eb="2">
      <t>シン</t>
    </rPh>
    <rPh sb="2" eb="4">
      <t>ヨウシキ</t>
    </rPh>
    <rPh sb="5" eb="6">
      <t>ホン</t>
    </rPh>
    <phoneticPr fontId="18"/>
  </si>
  <si>
    <t>　●＝押印済み原本が必要</t>
    <rPh sb="3" eb="5">
      <t>オウイン</t>
    </rPh>
    <rPh sb="5" eb="6">
      <t>ズ</t>
    </rPh>
    <rPh sb="7" eb="9">
      <t>ゲンポン</t>
    </rPh>
    <rPh sb="10" eb="12">
      <t>ヒツヨウ</t>
    </rPh>
    <phoneticPr fontId="18"/>
  </si>
  <si>
    <t>様式1</t>
    <rPh sb="0" eb="2">
      <t>ヨウシキ</t>
    </rPh>
    <phoneticPr fontId="18"/>
  </si>
  <si>
    <t>委員会年間事業予算管理表</t>
  </si>
  <si>
    <t>様式2</t>
    <rPh sb="0" eb="2">
      <t>ヨウシキ</t>
    </rPh>
    <phoneticPr fontId="18"/>
  </si>
  <si>
    <t>事業費（仮）決定通知書</t>
  </si>
  <si>
    <t>事業費を使用しない場合は、作成不要</t>
    <rPh sb="0" eb="3">
      <t>ジギョウヒ</t>
    </rPh>
    <rPh sb="4" eb="6">
      <t>シヨウ</t>
    </rPh>
    <rPh sb="9" eb="11">
      <t>バアイ</t>
    </rPh>
    <rPh sb="13" eb="15">
      <t>サクセイ</t>
    </rPh>
    <rPh sb="15" eb="17">
      <t>フヨウ</t>
    </rPh>
    <phoneticPr fontId="18"/>
  </si>
  <si>
    <t>様式3</t>
    <rPh sb="0" eb="2">
      <t>ヨウシキ</t>
    </rPh>
    <phoneticPr fontId="18"/>
  </si>
  <si>
    <t>収支予算書</t>
  </si>
  <si>
    <t>様式4</t>
    <rPh sb="0" eb="2">
      <t>ヨウシキ</t>
    </rPh>
    <phoneticPr fontId="18"/>
  </si>
  <si>
    <t>収益費用明細書</t>
    <rPh sb="1" eb="2">
      <t>エキ</t>
    </rPh>
    <rPh sb="2" eb="4">
      <t>ヒヨウ</t>
    </rPh>
    <phoneticPr fontId="18"/>
  </si>
  <si>
    <t>様式5</t>
    <rPh sb="0" eb="2">
      <t>ヨウシキ</t>
    </rPh>
    <phoneticPr fontId="18"/>
  </si>
  <si>
    <t>見積（請求）企業一覧表</t>
    <rPh sb="3" eb="5">
      <t>セイキュウ</t>
    </rPh>
    <phoneticPr fontId="18"/>
  </si>
  <si>
    <t>計画時には見積書をリンクする
決算時には請求書及び振込受付書をリンクする</t>
    <rPh sb="0" eb="2">
      <t>ケイカク</t>
    </rPh>
    <rPh sb="2" eb="3">
      <t>ジ</t>
    </rPh>
    <rPh sb="5" eb="8">
      <t>ミツモリショ</t>
    </rPh>
    <rPh sb="15" eb="17">
      <t>ケッサン</t>
    </rPh>
    <rPh sb="17" eb="18">
      <t>ジ</t>
    </rPh>
    <rPh sb="20" eb="23">
      <t>セイキュウショ</t>
    </rPh>
    <rPh sb="23" eb="24">
      <t>オヨ</t>
    </rPh>
    <rPh sb="25" eb="27">
      <t>フリコミ</t>
    </rPh>
    <rPh sb="27" eb="29">
      <t>ウケツケ</t>
    </rPh>
    <rPh sb="29" eb="30">
      <t>ショ</t>
    </rPh>
    <phoneticPr fontId="18"/>
  </si>
  <si>
    <t>様式6</t>
    <rPh sb="0" eb="2">
      <t>ヨウシキ</t>
    </rPh>
    <phoneticPr fontId="18"/>
  </si>
  <si>
    <t>講師等出演依頼承諾書</t>
    <rPh sb="0" eb="2">
      <t>コウシ</t>
    </rPh>
    <rPh sb="2" eb="3">
      <t>トウ</t>
    </rPh>
    <rPh sb="3" eb="5">
      <t>シュツエン</t>
    </rPh>
    <rPh sb="5" eb="7">
      <t>イライ</t>
    </rPh>
    <rPh sb="7" eb="10">
      <t>ショウダクショ</t>
    </rPh>
    <phoneticPr fontId="18"/>
  </si>
  <si>
    <t>○</t>
  </si>
  <si>
    <t>●</t>
  </si>
  <si>
    <t>講演等を依頼する場合に必要、規則審査会議と共通書式
決算時には請求書と同じ扱いになります。</t>
    <rPh sb="0" eb="2">
      <t>コウエン</t>
    </rPh>
    <rPh sb="2" eb="3">
      <t>トウ</t>
    </rPh>
    <rPh sb="4" eb="6">
      <t>イライ</t>
    </rPh>
    <rPh sb="8" eb="10">
      <t>バアイ</t>
    </rPh>
    <rPh sb="11" eb="13">
      <t>ヒツヨウ</t>
    </rPh>
    <rPh sb="14" eb="16">
      <t>キソク</t>
    </rPh>
    <rPh sb="16" eb="18">
      <t>シンサ</t>
    </rPh>
    <rPh sb="18" eb="20">
      <t>カイギ</t>
    </rPh>
    <rPh sb="21" eb="23">
      <t>キョウツウ</t>
    </rPh>
    <rPh sb="23" eb="25">
      <t>ショシキ</t>
    </rPh>
    <rPh sb="26" eb="28">
      <t>ケッサン</t>
    </rPh>
    <rPh sb="28" eb="29">
      <t>ジ</t>
    </rPh>
    <rPh sb="31" eb="34">
      <t>セイキュウショ</t>
    </rPh>
    <rPh sb="35" eb="36">
      <t>オナ</t>
    </rPh>
    <rPh sb="37" eb="38">
      <t>アツカ</t>
    </rPh>
    <phoneticPr fontId="18"/>
  </si>
  <si>
    <t>様式7</t>
    <rPh sb="0" eb="2">
      <t>ヨウシキ</t>
    </rPh>
    <phoneticPr fontId="18"/>
  </si>
  <si>
    <t>報酬明細書</t>
    <rPh sb="4" eb="5">
      <t>ショ</t>
    </rPh>
    <phoneticPr fontId="18"/>
  </si>
  <si>
    <t>源泉徴収が発生する場合に必要</t>
    <rPh sb="9" eb="11">
      <t>バアイ</t>
    </rPh>
    <phoneticPr fontId="18"/>
  </si>
  <si>
    <t>様式8</t>
    <rPh sb="0" eb="2">
      <t>ヨウシキ</t>
    </rPh>
    <phoneticPr fontId="18"/>
  </si>
  <si>
    <t>協賛物品内訳書</t>
    <rPh sb="2" eb="4">
      <t>ブッピン</t>
    </rPh>
    <phoneticPr fontId="18"/>
  </si>
  <si>
    <t>協賛金等導入の場合に必要</t>
    <rPh sb="0" eb="3">
      <t>キョウサンキン</t>
    </rPh>
    <rPh sb="3" eb="4">
      <t>トウ</t>
    </rPh>
    <rPh sb="4" eb="6">
      <t>ドウニュウ</t>
    </rPh>
    <rPh sb="7" eb="9">
      <t>バアイ</t>
    </rPh>
    <rPh sb="10" eb="12">
      <t>ヒツヨウ</t>
    </rPh>
    <phoneticPr fontId="18"/>
  </si>
  <si>
    <t>様式9</t>
    <rPh sb="0" eb="2">
      <t>ヨウシキ</t>
    </rPh>
    <phoneticPr fontId="18"/>
  </si>
  <si>
    <t>協賛に関する覚書</t>
  </si>
  <si>
    <t>押印してある紙資料を提出</t>
    <rPh sb="0" eb="2">
      <t>オウイン</t>
    </rPh>
    <rPh sb="6" eb="9">
      <t>カミシリョウ</t>
    </rPh>
    <rPh sb="10" eb="12">
      <t>テイシュツ</t>
    </rPh>
    <phoneticPr fontId="18"/>
  </si>
  <si>
    <t>様式10</t>
    <rPh sb="0" eb="2">
      <t>ヨウシキ</t>
    </rPh>
    <phoneticPr fontId="18"/>
  </si>
  <si>
    <t>収支決算報告書</t>
  </si>
  <si>
    <t>様式11</t>
    <rPh sb="0" eb="2">
      <t>ヨウシキ</t>
    </rPh>
    <phoneticPr fontId="18"/>
  </si>
  <si>
    <t>収益費用明細書（決算用）</t>
    <rPh sb="1" eb="2">
      <t>エキ</t>
    </rPh>
    <rPh sb="2" eb="4">
      <t>ヒヨウ</t>
    </rPh>
    <rPh sb="8" eb="11">
      <t>ケッサンヨウ</t>
    </rPh>
    <phoneticPr fontId="18"/>
  </si>
  <si>
    <t>様式12</t>
    <rPh sb="0" eb="2">
      <t>ヨウシキ</t>
    </rPh>
    <phoneticPr fontId="18"/>
  </si>
  <si>
    <t>差異発生理由書</t>
  </si>
  <si>
    <t>事業終了後、事業支払申請関連様式と請求書を事務局に提出</t>
    <rPh sb="6" eb="10">
      <t>ジギョウシハラ</t>
    </rPh>
    <rPh sb="10" eb="14">
      <t>シンセイカンレン</t>
    </rPh>
    <rPh sb="14" eb="16">
      <t>ヨウシキ</t>
    </rPh>
    <phoneticPr fontId="18"/>
  </si>
  <si>
    <t>様式13</t>
    <rPh sb="0" eb="2">
      <t>ヨウシキ</t>
    </rPh>
    <phoneticPr fontId="18"/>
  </si>
  <si>
    <t>消費税等計算シート</t>
  </si>
  <si>
    <t>様式14</t>
    <rPh sb="0" eb="2">
      <t>ヨウシキ</t>
    </rPh>
    <phoneticPr fontId="18"/>
  </si>
  <si>
    <t>修正・補正収支予算書</t>
    <rPh sb="3" eb="5">
      <t>ホセイ</t>
    </rPh>
    <phoneticPr fontId="18"/>
  </si>
  <si>
    <t>修正予算ならびに補正予算をする場合に使用</t>
    <rPh sb="0" eb="4">
      <t>シュウセイヨサン</t>
    </rPh>
    <rPh sb="8" eb="12">
      <t>ホセイヨサン</t>
    </rPh>
    <rPh sb="15" eb="17">
      <t>バアイ</t>
    </rPh>
    <rPh sb="18" eb="20">
      <t>シヨウ</t>
    </rPh>
    <phoneticPr fontId="18"/>
  </si>
  <si>
    <t>様式15</t>
    <rPh sb="0" eb="2">
      <t>ヨウシキ</t>
    </rPh>
    <phoneticPr fontId="18"/>
  </si>
  <si>
    <t>収益費用明細書（修正・補正用）</t>
    <rPh sb="11" eb="13">
      <t>ホセイ</t>
    </rPh>
    <rPh sb="13" eb="14">
      <t>ヨウ</t>
    </rPh>
    <phoneticPr fontId="18"/>
  </si>
  <si>
    <t>特別領収書関連様式</t>
    <rPh sb="0" eb="5">
      <t>トクベツリョウシュウショ</t>
    </rPh>
    <rPh sb="5" eb="7">
      <t>カンレン</t>
    </rPh>
    <rPh sb="7" eb="9">
      <t>ヨウシキ</t>
    </rPh>
    <phoneticPr fontId="18"/>
  </si>
  <si>
    <t>様式21</t>
    <rPh sb="0" eb="2">
      <t>ヨウシキ</t>
    </rPh>
    <phoneticPr fontId="18"/>
  </si>
  <si>
    <t>特別領収書作成申請書</t>
  </si>
  <si>
    <t>特別領収書の申請に使用</t>
    <rPh sb="0" eb="2">
      <t>トクベツ</t>
    </rPh>
    <rPh sb="2" eb="5">
      <t>リョウシュウショ</t>
    </rPh>
    <rPh sb="6" eb="8">
      <t>シンセイ</t>
    </rPh>
    <rPh sb="9" eb="11">
      <t>シヨウ</t>
    </rPh>
    <phoneticPr fontId="18"/>
  </si>
  <si>
    <t>様式22</t>
    <rPh sb="0" eb="2">
      <t>ヨウシキ</t>
    </rPh>
    <phoneticPr fontId="18"/>
  </si>
  <si>
    <t>特別領収書作成報告書</t>
  </si>
  <si>
    <t>未使用領収書、事業報告書ならびに様式10、様式11、
納品書の写しを添付し提出</t>
    <rPh sb="0" eb="3">
      <t>ミシヨウ</t>
    </rPh>
    <rPh sb="3" eb="6">
      <t>リョウシュウショ</t>
    </rPh>
    <rPh sb="7" eb="12">
      <t>ジギョウホウコクショ</t>
    </rPh>
    <rPh sb="16" eb="18">
      <t>ヨウシキ</t>
    </rPh>
    <rPh sb="21" eb="23">
      <t>ヨウシキ</t>
    </rPh>
    <rPh sb="27" eb="30">
      <t>ノウヒンショ</t>
    </rPh>
    <rPh sb="31" eb="32">
      <t>ウツ</t>
    </rPh>
    <rPh sb="34" eb="36">
      <t>テンプ</t>
    </rPh>
    <rPh sb="37" eb="39">
      <t>テイシュツ</t>
    </rPh>
    <phoneticPr fontId="18"/>
  </si>
  <si>
    <t>様式23</t>
    <rPh sb="0" eb="2">
      <t>ヨウシキ</t>
    </rPh>
    <phoneticPr fontId="18"/>
  </si>
  <si>
    <t>領収書管理台帳</t>
    <rPh sb="0" eb="3">
      <t>リョウシュウショ</t>
    </rPh>
    <rPh sb="3" eb="5">
      <t>カンリ</t>
    </rPh>
    <rPh sb="5" eb="7">
      <t>ダイチョウ</t>
    </rPh>
    <phoneticPr fontId="18"/>
  </si>
  <si>
    <t>特別領収書を管理する時に使用
（領収書つづり及び特別領収書を管理する時に使用）</t>
    <rPh sb="0" eb="2">
      <t>トクベツ</t>
    </rPh>
    <rPh sb="2" eb="5">
      <t>リョウシュウショ</t>
    </rPh>
    <rPh sb="6" eb="8">
      <t>カンリ</t>
    </rPh>
    <rPh sb="10" eb="11">
      <t>トキ</t>
    </rPh>
    <rPh sb="12" eb="14">
      <t>シヨウ</t>
    </rPh>
    <rPh sb="16" eb="19">
      <t>リョウシュウショ</t>
    </rPh>
    <rPh sb="22" eb="23">
      <t>オヨ</t>
    </rPh>
    <rPh sb="24" eb="26">
      <t>トクベツ</t>
    </rPh>
    <rPh sb="26" eb="29">
      <t>リョウシュウショ</t>
    </rPh>
    <rPh sb="30" eb="32">
      <t>カンリ</t>
    </rPh>
    <rPh sb="34" eb="35">
      <t>トキ</t>
    </rPh>
    <rPh sb="36" eb="38">
      <t>シヨウ</t>
    </rPh>
    <phoneticPr fontId="18"/>
  </si>
  <si>
    <t>事業費支払申請関連様式</t>
    <rPh sb="0" eb="2">
      <t>ジギョウ</t>
    </rPh>
    <rPh sb="2" eb="3">
      <t>ヒ</t>
    </rPh>
    <rPh sb="3" eb="5">
      <t>シハラ</t>
    </rPh>
    <rPh sb="5" eb="7">
      <t>シンセイ</t>
    </rPh>
    <rPh sb="7" eb="11">
      <t>カンレンヨウシキ</t>
    </rPh>
    <phoneticPr fontId="18"/>
  </si>
  <si>
    <t>様式31</t>
    <rPh sb="0" eb="2">
      <t>ヨウシキ</t>
    </rPh>
    <phoneticPr fontId="18"/>
  </si>
  <si>
    <t>事業費支払申請書</t>
  </si>
  <si>
    <r>
      <t>事業終了後、様式</t>
    </r>
    <r>
      <rPr>
        <sz val="8"/>
        <color rgb="FFDD0806"/>
        <rFont val="ＭＳ Ｐゴシック"/>
        <family val="3"/>
        <charset val="128"/>
      </rPr>
      <t>12・34</t>
    </r>
    <r>
      <rPr>
        <sz val="8"/>
        <rFont val="ＭＳ Ｐゴシック"/>
        <family val="3"/>
        <charset val="128"/>
      </rPr>
      <t>と請求書を事務局に提出</t>
    </r>
    <rPh sb="0" eb="2">
      <t>ジギョウ</t>
    </rPh>
    <rPh sb="2" eb="5">
      <t>シュウリョウゴ</t>
    </rPh>
    <rPh sb="6" eb="8">
      <t>ヨウシキ</t>
    </rPh>
    <rPh sb="14" eb="17">
      <t>セイキュウショ</t>
    </rPh>
    <rPh sb="18" eb="21">
      <t>ジムキョク</t>
    </rPh>
    <rPh sb="22" eb="24">
      <t>テイシュツ</t>
    </rPh>
    <phoneticPr fontId="18"/>
  </si>
  <si>
    <t>様式32</t>
    <rPh sb="0" eb="2">
      <t>ヨウシキ</t>
    </rPh>
    <phoneticPr fontId="18"/>
  </si>
  <si>
    <t>事業費仮払申請書</t>
  </si>
  <si>
    <t>講師への支払いや海外事業でやむをえず現金が必要な時に使用</t>
    <rPh sb="0" eb="2">
      <t>コウシ</t>
    </rPh>
    <rPh sb="4" eb="6">
      <t>シハラ</t>
    </rPh>
    <rPh sb="8" eb="10">
      <t>カイガイ</t>
    </rPh>
    <rPh sb="10" eb="12">
      <t>ジギョウ</t>
    </rPh>
    <rPh sb="18" eb="20">
      <t>ゲンキン</t>
    </rPh>
    <rPh sb="21" eb="23">
      <t>ヒツヨウ</t>
    </rPh>
    <rPh sb="24" eb="25">
      <t>トキ</t>
    </rPh>
    <rPh sb="26" eb="28">
      <t>シヨウ</t>
    </rPh>
    <phoneticPr fontId="18"/>
  </si>
  <si>
    <t>様式33</t>
    <rPh sb="0" eb="2">
      <t>ヨウシキ</t>
    </rPh>
    <phoneticPr fontId="18"/>
  </si>
  <si>
    <t>事業費仮払精算書</t>
  </si>
  <si>
    <t>仮払いを受けたときの精算書</t>
    <rPh sb="0" eb="2">
      <t>カリバラ</t>
    </rPh>
    <rPh sb="4" eb="5">
      <t>ウ</t>
    </rPh>
    <rPh sb="10" eb="13">
      <t>セイサンショ</t>
    </rPh>
    <phoneticPr fontId="18"/>
  </si>
  <si>
    <t>様式34</t>
    <rPh sb="0" eb="2">
      <t>ヨウシキ</t>
    </rPh>
    <phoneticPr fontId="18"/>
  </si>
  <si>
    <t>事業費支払管理書</t>
    <rPh sb="0" eb="5">
      <t>ジギョウヒシハラ</t>
    </rPh>
    <rPh sb="5" eb="7">
      <t>カンリショ</t>
    </rPh>
    <rPh sb="7" eb="8">
      <t>ショ</t>
    </rPh>
    <phoneticPr fontId="18"/>
  </si>
  <si>
    <t>委員会会計関連様式</t>
    <rPh sb="0" eb="3">
      <t>イインカイ</t>
    </rPh>
    <rPh sb="3" eb="5">
      <t>カイケイ</t>
    </rPh>
    <rPh sb="5" eb="9">
      <t>カンレンヨウシキ</t>
    </rPh>
    <phoneticPr fontId="18"/>
  </si>
  <si>
    <t>様式41</t>
    <rPh sb="0" eb="2">
      <t>ヨウシキ</t>
    </rPh>
    <phoneticPr fontId="18"/>
  </si>
  <si>
    <t>預り金明細書</t>
    <rPh sb="0" eb="1">
      <t>アズカ</t>
    </rPh>
    <rPh sb="2" eb="3">
      <t>キン</t>
    </rPh>
    <rPh sb="3" eb="6">
      <t>メイサイショ</t>
    </rPh>
    <phoneticPr fontId="18"/>
  </si>
  <si>
    <t>預り金がある場合に使用</t>
    <rPh sb="0" eb="1">
      <t>アズカ</t>
    </rPh>
    <rPh sb="2" eb="3">
      <t>キン</t>
    </rPh>
    <rPh sb="6" eb="8">
      <t>バアイ</t>
    </rPh>
    <rPh sb="9" eb="11">
      <t>シヨウ</t>
    </rPh>
    <phoneticPr fontId="18"/>
  </si>
  <si>
    <t>様式42</t>
    <rPh sb="0" eb="2">
      <t>ヨウシキ</t>
    </rPh>
    <phoneticPr fontId="18"/>
  </si>
  <si>
    <t>総勘定元帳</t>
    <rPh sb="0" eb="5">
      <t>ソウカ</t>
    </rPh>
    <phoneticPr fontId="18"/>
  </si>
  <si>
    <t>現金・預金のすべての金銭の動きを記載</t>
    <rPh sb="0" eb="2">
      <t>ゲンキン</t>
    </rPh>
    <rPh sb="3" eb="5">
      <t>ヨキン</t>
    </rPh>
    <rPh sb="10" eb="12">
      <t>キンセン</t>
    </rPh>
    <rPh sb="13" eb="14">
      <t>ウゴ</t>
    </rPh>
    <rPh sb="16" eb="18">
      <t>キサイ</t>
    </rPh>
    <phoneticPr fontId="18"/>
  </si>
  <si>
    <t>地区・ブロック関連様式</t>
    <rPh sb="0" eb="2">
      <t>チク</t>
    </rPh>
    <rPh sb="7" eb="11">
      <t>カンレンヨウシキ</t>
    </rPh>
    <phoneticPr fontId="18"/>
  </si>
  <si>
    <t>様式51</t>
    <rPh sb="0" eb="2">
      <t>ヨウシキ</t>
    </rPh>
    <phoneticPr fontId="18"/>
  </si>
  <si>
    <t>銀行口座届出書
（協議会事務局管理用）</t>
    <rPh sb="0" eb="4">
      <t>ギンコウコウザ</t>
    </rPh>
    <rPh sb="4" eb="7">
      <t>トドケデショ</t>
    </rPh>
    <rPh sb="9" eb="12">
      <t>キョウギカイ</t>
    </rPh>
    <rPh sb="12" eb="15">
      <t>ジムキョク</t>
    </rPh>
    <rPh sb="15" eb="18">
      <t>カンリヨウ</t>
    </rPh>
    <phoneticPr fontId="18"/>
  </si>
  <si>
    <t>本会計、事業用委員会口座を作る場合に必要</t>
    <rPh sb="0" eb="1">
      <t>ホン</t>
    </rPh>
    <rPh sb="1" eb="3">
      <t>カイケイ</t>
    </rPh>
    <rPh sb="4" eb="7">
      <t>ジギョウヨウ</t>
    </rPh>
    <rPh sb="7" eb="10">
      <t>イインカイ</t>
    </rPh>
    <rPh sb="10" eb="12">
      <t>コウザ</t>
    </rPh>
    <rPh sb="13" eb="14">
      <t>ツク</t>
    </rPh>
    <rPh sb="15" eb="17">
      <t>バアイ</t>
    </rPh>
    <rPh sb="18" eb="20">
      <t>ヒツヨウ</t>
    </rPh>
    <phoneticPr fontId="18"/>
  </si>
  <si>
    <t>様式52</t>
    <rPh sb="0" eb="2">
      <t>ヨウシキ</t>
    </rPh>
    <phoneticPr fontId="18"/>
  </si>
  <si>
    <t>預金出納帳</t>
    <rPh sb="0" eb="2">
      <t>ヨキン</t>
    </rPh>
    <rPh sb="2" eb="5">
      <t>スイトウ</t>
    </rPh>
    <phoneticPr fontId="18"/>
  </si>
  <si>
    <t>銀行預金の動きを記載</t>
    <rPh sb="0" eb="4">
      <t>ギンコウヨキン</t>
    </rPh>
    <rPh sb="5" eb="6">
      <t>ウゴ</t>
    </rPh>
    <rPh sb="8" eb="10">
      <t>キサイ</t>
    </rPh>
    <phoneticPr fontId="18"/>
  </si>
  <si>
    <t>様式53</t>
    <rPh sb="0" eb="2">
      <t>ヨウシキ</t>
    </rPh>
    <phoneticPr fontId="18"/>
  </si>
  <si>
    <t>現金出納帳</t>
    <rPh sb="0" eb="5">
      <t>ゲンキンスイトウチョウ</t>
    </rPh>
    <phoneticPr fontId="18"/>
  </si>
  <si>
    <t>手元現金の動きを記載</t>
    <rPh sb="0" eb="2">
      <t>テモト</t>
    </rPh>
    <rPh sb="2" eb="4">
      <t>ゲンキン</t>
    </rPh>
    <rPh sb="5" eb="6">
      <t>ウゴ</t>
    </rPh>
    <rPh sb="8" eb="10">
      <t>キサイ</t>
    </rPh>
    <phoneticPr fontId="18"/>
  </si>
  <si>
    <t>様式54</t>
    <rPh sb="0" eb="2">
      <t>ヨウシキ</t>
    </rPh>
    <phoneticPr fontId="18"/>
  </si>
  <si>
    <t>源泉所得税納付報告書</t>
    <rPh sb="0" eb="2">
      <t>ゲンセン</t>
    </rPh>
    <rPh sb="2" eb="5">
      <t>ショトクゼイ</t>
    </rPh>
    <rPh sb="5" eb="7">
      <t>ノウフ</t>
    </rPh>
    <rPh sb="7" eb="9">
      <t>ホウコク</t>
    </rPh>
    <rPh sb="9" eb="10">
      <t>ショ</t>
    </rPh>
    <phoneticPr fontId="18"/>
  </si>
  <si>
    <t>源泉所得税納付後日本ＪＣへ報告する際に必要</t>
    <rPh sb="0" eb="2">
      <t>ゲンセン</t>
    </rPh>
    <rPh sb="2" eb="5">
      <t>ショトクゼイ</t>
    </rPh>
    <rPh sb="5" eb="7">
      <t>ノウフ</t>
    </rPh>
    <rPh sb="7" eb="8">
      <t>ゴ</t>
    </rPh>
    <rPh sb="8" eb="10">
      <t>ニホン</t>
    </rPh>
    <rPh sb="13" eb="15">
      <t>ホウコク</t>
    </rPh>
    <rPh sb="17" eb="18">
      <t>サイ</t>
    </rPh>
    <rPh sb="19" eb="21">
      <t>ヒツヨウ</t>
    </rPh>
    <phoneticPr fontId="18"/>
  </si>
  <si>
    <t>様式55</t>
    <rPh sb="0" eb="2">
      <t>ヨウシキ</t>
    </rPh>
    <phoneticPr fontId="18"/>
  </si>
  <si>
    <t>銀行口座管理台帳
（協議会管理用、日本JC提出用）</t>
    <rPh sb="0" eb="4">
      <t>ギンコウコウザ</t>
    </rPh>
    <rPh sb="4" eb="8">
      <t>カンリダイチョウ</t>
    </rPh>
    <rPh sb="10" eb="13">
      <t>キョウギカイ</t>
    </rPh>
    <rPh sb="13" eb="16">
      <t>カンリヨウ</t>
    </rPh>
    <rPh sb="17" eb="19">
      <t>ニホン</t>
    </rPh>
    <rPh sb="21" eb="23">
      <t>テイシュツ</t>
    </rPh>
    <rPh sb="23" eb="24">
      <t>ヨウ</t>
    </rPh>
    <phoneticPr fontId="18"/>
  </si>
  <si>
    <r>
      <t>協議会で作った全ての銀行口座を管理する為に、</t>
    </r>
    <r>
      <rPr>
        <b/>
        <sz val="8"/>
        <rFont val="ＭＳ Ｐゴシック"/>
        <family val="3"/>
        <charset val="128"/>
      </rPr>
      <t>協議会の財政担当者が記入・提出</t>
    </r>
    <rPh sb="0" eb="3">
      <t>キョウギカイ</t>
    </rPh>
    <rPh sb="4" eb="5">
      <t>ツク</t>
    </rPh>
    <rPh sb="7" eb="8">
      <t>スベ</t>
    </rPh>
    <rPh sb="10" eb="12">
      <t>ギンコウ</t>
    </rPh>
    <rPh sb="12" eb="14">
      <t>コウザ</t>
    </rPh>
    <rPh sb="15" eb="17">
      <t>カンリ</t>
    </rPh>
    <rPh sb="19" eb="20">
      <t>タメ</t>
    </rPh>
    <rPh sb="22" eb="25">
      <t>キョウギカイ</t>
    </rPh>
    <rPh sb="26" eb="28">
      <t>ザイセイ</t>
    </rPh>
    <rPh sb="28" eb="31">
      <t>タントウシャ</t>
    </rPh>
    <rPh sb="32" eb="34">
      <t>キニュウ</t>
    </rPh>
    <rPh sb="35" eb="37">
      <t>テイシュツ</t>
    </rPh>
    <phoneticPr fontId="18"/>
  </si>
  <si>
    <t>参考資料</t>
    <rPh sb="0" eb="4">
      <t>サンコウシリョウ</t>
    </rPh>
    <phoneticPr fontId="18"/>
  </si>
  <si>
    <t>日本JC専用封筒等価格表</t>
    <rPh sb="0" eb="2">
      <t>ニホン</t>
    </rPh>
    <rPh sb="4" eb="6">
      <t>センヨウ</t>
    </rPh>
    <rPh sb="6" eb="8">
      <t>フウトウ</t>
    </rPh>
    <rPh sb="8" eb="9">
      <t>トウ</t>
    </rPh>
    <rPh sb="9" eb="12">
      <t>カカクヒョウ</t>
    </rPh>
    <phoneticPr fontId="18"/>
  </si>
  <si>
    <t>日本JC専用封筒を使用する場合に様式5に添付</t>
    <rPh sb="0" eb="2">
      <t>ニホン</t>
    </rPh>
    <rPh sb="4" eb="8">
      <t>センヨウフウトウ</t>
    </rPh>
    <rPh sb="9" eb="11">
      <t>シヨウ</t>
    </rPh>
    <rPh sb="13" eb="15">
      <t>バアイ</t>
    </rPh>
    <rPh sb="16" eb="18">
      <t>ヨウシキ</t>
    </rPh>
    <rPh sb="20" eb="22">
      <t>テンプ</t>
    </rPh>
    <phoneticPr fontId="18"/>
  </si>
  <si>
    <t>外部から取得する資料</t>
    <rPh sb="0" eb="2">
      <t>ガイブ</t>
    </rPh>
    <rPh sb="4" eb="6">
      <t>シュトク</t>
    </rPh>
    <rPh sb="8" eb="10">
      <t>シリョウ</t>
    </rPh>
    <phoneticPr fontId="18"/>
  </si>
  <si>
    <t>見積書</t>
    <rPh sb="0" eb="2">
      <t>ミツモリ</t>
    </rPh>
    <rPh sb="2" eb="3">
      <t>ショ</t>
    </rPh>
    <phoneticPr fontId="18"/>
  </si>
  <si>
    <t>請求書</t>
    <rPh sb="0" eb="3">
      <t>セイキュウショ</t>
    </rPh>
    <phoneticPr fontId="18"/>
  </si>
  <si>
    <t>事務局に集約し、スキャンコピーを添付</t>
    <rPh sb="0" eb="3">
      <t>ジムキョク</t>
    </rPh>
    <rPh sb="4" eb="6">
      <t>シュウヤク</t>
    </rPh>
    <rPh sb="16" eb="18">
      <t>テンプ</t>
    </rPh>
    <phoneticPr fontId="18"/>
  </si>
  <si>
    <t>振込受付書</t>
    <rPh sb="0" eb="2">
      <t>フリコミ</t>
    </rPh>
    <rPh sb="2" eb="4">
      <t>ウケツケ</t>
    </rPh>
    <rPh sb="4" eb="5">
      <t>ショ</t>
    </rPh>
    <phoneticPr fontId="18"/>
  </si>
  <si>
    <t>支払完了後に事務局からスキャンコピーを受け取り添付</t>
    <rPh sb="0" eb="2">
      <t>シハライ</t>
    </rPh>
    <rPh sb="2" eb="4">
      <t>カンリョウ</t>
    </rPh>
    <rPh sb="4" eb="5">
      <t>ゴ</t>
    </rPh>
    <rPh sb="6" eb="9">
      <t>ジムキョク</t>
    </rPh>
    <rPh sb="19" eb="20">
      <t>ウ</t>
    </rPh>
    <rPh sb="21" eb="22">
      <t>ト</t>
    </rPh>
    <rPh sb="23" eb="25">
      <t>テンプ</t>
    </rPh>
    <phoneticPr fontId="18"/>
  </si>
  <si>
    <t>［　様式1　］</t>
    <rPh sb="2" eb="4">
      <t>ヨウシキ</t>
    </rPh>
    <phoneticPr fontId="18"/>
  </si>
  <si>
    <t>一般社団法人 佐賀青年会議所</t>
  </si>
  <si>
    <t>専務理事　  渡邉　雅夫</t>
    <rPh sb="0" eb="2">
      <t>センム</t>
    </rPh>
    <rPh sb="2" eb="4">
      <t>リジ</t>
    </rPh>
    <phoneticPr fontId="18"/>
  </si>
  <si>
    <t>殿</t>
    <rPh sb="0" eb="1">
      <t>ドノ</t>
    </rPh>
    <phoneticPr fontId="18"/>
  </si>
  <si>
    <t>ビジネス・防災対策委員会（仮）</t>
    <rPh sb="5" eb="7">
      <t>ボウサイ</t>
    </rPh>
    <rPh sb="7" eb="9">
      <t>タイサク</t>
    </rPh>
    <rPh sb="9" eb="12">
      <t>イインカイ</t>
    </rPh>
    <rPh sb="13" eb="14">
      <t>カリ</t>
    </rPh>
    <phoneticPr fontId="18"/>
  </si>
  <si>
    <t>委員長　飯笹　壽久</t>
    <rPh sb="0" eb="3">
      <t>イインチョウ</t>
    </rPh>
    <phoneticPr fontId="18"/>
  </si>
  <si>
    <t>印</t>
    <rPh sb="0" eb="1">
      <t>イン</t>
    </rPh>
    <phoneticPr fontId="18"/>
  </si>
  <si>
    <t>委員会年間事業予算管理表</t>
    <rPh sb="0" eb="3">
      <t>イインカイ</t>
    </rPh>
    <rPh sb="5" eb="7">
      <t>ジギョウ</t>
    </rPh>
    <phoneticPr fontId="18"/>
  </si>
  <si>
    <t>委員会年間総事業費</t>
    <rPh sb="0" eb="3">
      <t>イインカイ</t>
    </rPh>
    <rPh sb="3" eb="5">
      <t>ネンカン</t>
    </rPh>
    <rPh sb="5" eb="6">
      <t>ソウ</t>
    </rPh>
    <rPh sb="6" eb="9">
      <t>ジギョウヒ</t>
    </rPh>
    <phoneticPr fontId="18"/>
  </si>
  <si>
    <t>￥</t>
  </si>
  <si>
    <t>年間事業繰入金予定額</t>
    <rPh sb="0" eb="2">
      <t>ネンカン</t>
    </rPh>
    <rPh sb="2" eb="4">
      <t>ジギョウ</t>
    </rPh>
    <rPh sb="4" eb="6">
      <t>クリイレ</t>
    </rPh>
    <rPh sb="6" eb="7">
      <t>キン</t>
    </rPh>
    <rPh sb="7" eb="9">
      <t>ヨテイ</t>
    </rPh>
    <rPh sb="9" eb="10">
      <t>ガク</t>
    </rPh>
    <phoneticPr fontId="18"/>
  </si>
  <si>
    <t>※　年当初予算を記載し、基本的には変更しないこと。</t>
    <rPh sb="2" eb="3">
      <t>ネン</t>
    </rPh>
    <rPh sb="3" eb="5">
      <t>トウショ</t>
    </rPh>
    <rPh sb="5" eb="7">
      <t>ヨサン</t>
    </rPh>
    <rPh sb="8" eb="10">
      <t>キサイ</t>
    </rPh>
    <rPh sb="12" eb="15">
      <t>キホンテキ</t>
    </rPh>
    <rPh sb="17" eb="19">
      <t>ヘンコウ</t>
    </rPh>
    <phoneticPr fontId="18"/>
  </si>
  <si>
    <t>事業開始日</t>
    <rPh sb="0" eb="1">
      <t>コト</t>
    </rPh>
    <rPh sb="1" eb="2">
      <t>ギョウ</t>
    </rPh>
    <rPh sb="2" eb="4">
      <t>カイシ</t>
    </rPh>
    <rPh sb="4" eb="5">
      <t>ヒ</t>
    </rPh>
    <phoneticPr fontId="18"/>
  </si>
  <si>
    <t>事業終了日</t>
    <rPh sb="0" eb="1">
      <t>コト</t>
    </rPh>
    <rPh sb="1" eb="2">
      <t>ギョウ</t>
    </rPh>
    <rPh sb="2" eb="4">
      <t>シュウリョウ</t>
    </rPh>
    <rPh sb="4" eb="5">
      <t>ヒ</t>
    </rPh>
    <phoneticPr fontId="18"/>
  </si>
  <si>
    <t>事　　業　　名　　称</t>
    <rPh sb="0" eb="1">
      <t>コト</t>
    </rPh>
    <rPh sb="3" eb="4">
      <t>ギョウ</t>
    </rPh>
    <rPh sb="6" eb="7">
      <t>メイ</t>
    </rPh>
    <rPh sb="9" eb="10">
      <t>ショウ</t>
    </rPh>
    <phoneticPr fontId="18"/>
  </si>
  <si>
    <r>
      <t>事業繰入金予定額　　　　　　</t>
    </r>
    <r>
      <rPr>
        <sz val="12"/>
        <rFont val="ＭＳ Ｐゴシック"/>
        <family val="3"/>
        <charset val="128"/>
      </rPr>
      <t>（財審議長　記入欄）</t>
    </r>
    <rPh sb="0" eb="2">
      <t>ジギョウ</t>
    </rPh>
    <rPh sb="2" eb="4">
      <t>クリイレ</t>
    </rPh>
    <rPh sb="4" eb="5">
      <t>キン</t>
    </rPh>
    <rPh sb="5" eb="7">
      <t>ヨテイ</t>
    </rPh>
    <rPh sb="7" eb="8">
      <t>ガク</t>
    </rPh>
    <rPh sb="15" eb="16">
      <t>ザイ</t>
    </rPh>
    <rPh sb="16" eb="17">
      <t>シン</t>
    </rPh>
    <rPh sb="17" eb="19">
      <t>ギチョウ</t>
    </rPh>
    <rPh sb="20" eb="22">
      <t>キニュウ</t>
    </rPh>
    <rPh sb="22" eb="23">
      <t>ラン</t>
    </rPh>
    <phoneticPr fontId="18"/>
  </si>
  <si>
    <t>外部資金予定額　　　（登録料等）</t>
    <rPh sb="0" eb="2">
      <t>ガイブ</t>
    </rPh>
    <rPh sb="2" eb="4">
      <t>シキン</t>
    </rPh>
    <rPh sb="4" eb="6">
      <t>ヨテイ</t>
    </rPh>
    <rPh sb="6" eb="7">
      <t>ガク</t>
    </rPh>
    <rPh sb="11" eb="13">
      <t>トウロク</t>
    </rPh>
    <rPh sb="13" eb="15">
      <t>リョウナド</t>
    </rPh>
    <phoneticPr fontId="18"/>
  </si>
  <si>
    <r>
      <t xml:space="preserve">収益計
</t>
    </r>
    <r>
      <rPr>
        <sz val="9"/>
        <rFont val="ＭＳ Ｐゴシック"/>
        <family val="3"/>
        <charset val="128"/>
      </rPr>
      <t>（事業繰入金＋外部資金予定額）</t>
    </r>
    <rPh sb="0" eb="2">
      <t>シュウエキ</t>
    </rPh>
    <rPh sb="2" eb="3">
      <t>ケイ</t>
    </rPh>
    <rPh sb="5" eb="7">
      <t>ジギョウ</t>
    </rPh>
    <rPh sb="7" eb="9">
      <t>クリイレ</t>
    </rPh>
    <rPh sb="9" eb="10">
      <t>キン</t>
    </rPh>
    <rPh sb="11" eb="13">
      <t>ガイブ</t>
    </rPh>
    <rPh sb="13" eb="15">
      <t>シキン</t>
    </rPh>
    <rPh sb="15" eb="17">
      <t>ヨテイ</t>
    </rPh>
    <rPh sb="17" eb="18">
      <t>ガク</t>
    </rPh>
    <phoneticPr fontId="18"/>
  </si>
  <si>
    <t>月</t>
    <rPh sb="0" eb="1">
      <t>ガツ</t>
    </rPh>
    <phoneticPr fontId="18"/>
  </si>
  <si>
    <t>日</t>
    <rPh sb="0" eb="1">
      <t>ヒ</t>
    </rPh>
    <phoneticPr fontId="18"/>
  </si>
  <si>
    <t>２０２２年度新年会</t>
  </si>
  <si>
    <t>合　　計</t>
    <rPh sb="0" eb="1">
      <t>ゴウ</t>
    </rPh>
    <rPh sb="3" eb="4">
      <t>ケイ</t>
    </rPh>
    <phoneticPr fontId="18"/>
  </si>
  <si>
    <t>[様式3]</t>
    <rPh sb="1" eb="3">
      <t>ヨウシキ</t>
    </rPh>
    <phoneticPr fontId="18"/>
  </si>
  <si>
    <t>　　　　　　　　　　　　　　　事　業　計　画　収　支　予　算　書</t>
    <rPh sb="15" eb="18">
      <t>ジギョウ</t>
    </rPh>
    <rPh sb="19" eb="22">
      <t>ケイカク</t>
    </rPh>
    <rPh sb="23" eb="26">
      <t>シュウシ</t>
    </rPh>
    <rPh sb="27" eb="32">
      <t>ヨサンショ</t>
    </rPh>
    <phoneticPr fontId="18"/>
  </si>
  <si>
    <t>事業名称：２０２２年度新年会</t>
    <rPh sb="0" eb="2">
      <t>ジギョウ</t>
    </rPh>
    <rPh sb="2" eb="4">
      <t>メイショウ</t>
    </rPh>
    <phoneticPr fontId="18"/>
  </si>
  <si>
    <t>（単位　：　円）</t>
    <rPh sb="1" eb="3">
      <t>タンイ</t>
    </rPh>
    <rPh sb="6" eb="7">
      <t>エン</t>
    </rPh>
    <phoneticPr fontId="18"/>
  </si>
  <si>
    <t>項　　　　目</t>
    <rPh sb="0" eb="6">
      <t>コウモク</t>
    </rPh>
    <phoneticPr fontId="18"/>
  </si>
  <si>
    <t>予　算　額</t>
    <rPh sb="0" eb="5">
      <t>ヨサンガク</t>
    </rPh>
    <phoneticPr fontId="18"/>
  </si>
  <si>
    <t>前年度予算額</t>
    <rPh sb="0" eb="3">
      <t>ゼンネンド</t>
    </rPh>
    <rPh sb="3" eb="6">
      <t>ヨサンガク</t>
    </rPh>
    <phoneticPr fontId="18"/>
  </si>
  <si>
    <t>前年度決算額</t>
    <rPh sb="0" eb="3">
      <t>ゼンネンド</t>
    </rPh>
    <rPh sb="3" eb="6">
      <t>ケッサンガク</t>
    </rPh>
    <phoneticPr fontId="18"/>
  </si>
  <si>
    <t>摘　　要</t>
    <rPh sb="0" eb="4">
      <t>テキヨウ</t>
    </rPh>
    <phoneticPr fontId="18"/>
  </si>
  <si>
    <t>（収　益　の　部）</t>
    <rPh sb="1" eb="2">
      <t>オサム</t>
    </rPh>
    <rPh sb="3" eb="4">
      <t>エキ</t>
    </rPh>
    <rPh sb="7" eb="8">
      <t>ブ</t>
    </rPh>
    <phoneticPr fontId="18"/>
  </si>
  <si>
    <t>登 録 料 収 益</t>
    <rPh sb="0" eb="5">
      <t>トウロクリョウ</t>
    </rPh>
    <rPh sb="6" eb="7">
      <t>オサム</t>
    </rPh>
    <rPh sb="8" eb="9">
      <t>エキ</t>
    </rPh>
    <phoneticPr fontId="18"/>
  </si>
  <si>
    <t>寄 付 金 収 益</t>
    <rPh sb="0" eb="5">
      <t>キフキン</t>
    </rPh>
    <rPh sb="6" eb="7">
      <t>オサム</t>
    </rPh>
    <rPh sb="8" eb="9">
      <t>エキ</t>
    </rPh>
    <phoneticPr fontId="18"/>
  </si>
  <si>
    <t>補 助 金</t>
    <rPh sb="0" eb="5">
      <t>ホジョキン</t>
    </rPh>
    <phoneticPr fontId="18"/>
  </si>
  <si>
    <t>助 成 金</t>
    <rPh sb="0" eb="5">
      <t>ジョセイキン</t>
    </rPh>
    <phoneticPr fontId="18"/>
  </si>
  <si>
    <t>広 告 料 収 益</t>
    <rPh sb="0" eb="5">
      <t>コウコクリョウ</t>
    </rPh>
    <rPh sb="6" eb="7">
      <t>オサム</t>
    </rPh>
    <rPh sb="8" eb="9">
      <t>エキ</t>
    </rPh>
    <phoneticPr fontId="18"/>
  </si>
  <si>
    <t>販　売　収　益</t>
    <rPh sb="0" eb="3">
      <t>ハンバイ</t>
    </rPh>
    <rPh sb="4" eb="5">
      <t>オサム</t>
    </rPh>
    <rPh sb="6" eb="7">
      <t>エキ</t>
    </rPh>
    <phoneticPr fontId="18"/>
  </si>
  <si>
    <t>事　業　繰　入　金</t>
  </si>
  <si>
    <t>事　業　繰　入　金</t>
    <rPh sb="0" eb="3">
      <t>ジギョウ</t>
    </rPh>
    <rPh sb="4" eb="5">
      <t>クリ</t>
    </rPh>
    <rPh sb="6" eb="7">
      <t>ニュウ</t>
    </rPh>
    <rPh sb="8" eb="9">
      <t>キン</t>
    </rPh>
    <phoneticPr fontId="18"/>
  </si>
  <si>
    <t>委員会事業費より</t>
  </si>
  <si>
    <t>雑　　収　　益</t>
    <rPh sb="0" eb="1">
      <t>ザツ</t>
    </rPh>
    <rPh sb="3" eb="4">
      <t>オサム</t>
    </rPh>
    <rPh sb="6" eb="7">
      <t>エキ</t>
    </rPh>
    <phoneticPr fontId="18"/>
  </si>
  <si>
    <t>収益計</t>
    <rPh sb="0" eb="2">
      <t>シュウエキ</t>
    </rPh>
    <rPh sb="2" eb="3">
      <t>ケイ</t>
    </rPh>
    <phoneticPr fontId="18"/>
  </si>
  <si>
    <t>（費用の部）</t>
    <rPh sb="1" eb="3">
      <t>ヒヨウ</t>
    </rPh>
    <rPh sb="4" eb="5">
      <t>ブ</t>
    </rPh>
    <phoneticPr fontId="18"/>
  </si>
  <si>
    <t>会場設営費</t>
  </si>
  <si>
    <t>会場設営費</t>
    <rPh sb="0" eb="2">
      <t>カイジョウ</t>
    </rPh>
    <rPh sb="2" eb="5">
      <t>セツエイヒ</t>
    </rPh>
    <phoneticPr fontId="18"/>
  </si>
  <si>
    <t>会場費</t>
    <rPh sb="0" eb="2">
      <t>カイジョウ</t>
    </rPh>
    <rPh sb="2" eb="3">
      <t>ヒ</t>
    </rPh>
    <phoneticPr fontId="18"/>
  </si>
  <si>
    <t>企画・演出費</t>
  </si>
  <si>
    <t>企画・演出費</t>
    <rPh sb="0" eb="2">
      <t>キカク</t>
    </rPh>
    <rPh sb="3" eb="5">
      <t>エンシュツ</t>
    </rPh>
    <rPh sb="5" eb="6">
      <t>ヒ</t>
    </rPh>
    <phoneticPr fontId="18"/>
  </si>
  <si>
    <t>ミュージカル、横断幕等</t>
  </si>
  <si>
    <t>本部団関係費</t>
    <rPh sb="0" eb="2">
      <t>ホンブ</t>
    </rPh>
    <rPh sb="2" eb="3">
      <t>ダン</t>
    </rPh>
    <rPh sb="3" eb="6">
      <t>カンケイヒ</t>
    </rPh>
    <phoneticPr fontId="18"/>
  </si>
  <si>
    <t>講師関係費</t>
    <rPh sb="0" eb="2">
      <t>コウシ</t>
    </rPh>
    <rPh sb="2" eb="5">
      <t>カンケイヒ</t>
    </rPh>
    <phoneticPr fontId="18"/>
  </si>
  <si>
    <t>広報費</t>
    <rPh sb="0" eb="3">
      <t>コウホウヒ</t>
    </rPh>
    <phoneticPr fontId="18"/>
  </si>
  <si>
    <t>資料作成費</t>
    <rPh sb="0" eb="2">
      <t>シリョウ</t>
    </rPh>
    <rPh sb="2" eb="5">
      <t>サクセイヒ</t>
    </rPh>
    <phoneticPr fontId="18"/>
  </si>
  <si>
    <t>報告書作成費</t>
    <rPh sb="0" eb="3">
      <t>ホウコクショ</t>
    </rPh>
    <rPh sb="3" eb="6">
      <t>サクセイヒ</t>
    </rPh>
    <phoneticPr fontId="18"/>
  </si>
  <si>
    <t>渉外費</t>
    <rPh sb="0" eb="2">
      <t>ショウガイ</t>
    </rPh>
    <rPh sb="2" eb="3">
      <t>ヒ</t>
    </rPh>
    <phoneticPr fontId="18"/>
  </si>
  <si>
    <t>旅費交通費</t>
    <rPh sb="0" eb="2">
      <t>リョヒ</t>
    </rPh>
    <rPh sb="2" eb="5">
      <t>コウツウヒ</t>
    </rPh>
    <phoneticPr fontId="18"/>
  </si>
  <si>
    <t>参加記念品費</t>
    <rPh sb="0" eb="2">
      <t>サンカ</t>
    </rPh>
    <rPh sb="2" eb="5">
      <t>キネンヒン</t>
    </rPh>
    <rPh sb="5" eb="6">
      <t>ヒ</t>
    </rPh>
    <phoneticPr fontId="18"/>
  </si>
  <si>
    <t>保険料</t>
    <rPh sb="0" eb="3">
      <t>ホケンリョウ</t>
    </rPh>
    <phoneticPr fontId="18"/>
  </si>
  <si>
    <t>通信費</t>
    <rPh sb="0" eb="3">
      <t>ツウシンヒ</t>
    </rPh>
    <phoneticPr fontId="18"/>
  </si>
  <si>
    <t>案内状印刷等</t>
  </si>
  <si>
    <t>雑費</t>
    <rPh sb="0" eb="2">
      <t>ザッピ</t>
    </rPh>
    <phoneticPr fontId="18"/>
  </si>
  <si>
    <t>予備費</t>
    <rPh sb="0" eb="3">
      <t>ヨビヒ</t>
    </rPh>
    <phoneticPr fontId="18"/>
  </si>
  <si>
    <t>支出計</t>
    <rPh sb="0" eb="2">
      <t>シシュツ</t>
    </rPh>
    <rPh sb="2" eb="3">
      <t>ケイ</t>
    </rPh>
    <phoneticPr fontId="18"/>
  </si>
  <si>
    <t>収支差額</t>
    <rPh sb="0" eb="2">
      <t>シュウシ</t>
    </rPh>
    <rPh sb="2" eb="4">
      <t>サガク</t>
    </rPh>
    <phoneticPr fontId="18"/>
  </si>
  <si>
    <t>[様式4]</t>
    <rPh sb="1" eb="3">
      <t>ヨウシキ</t>
    </rPh>
    <phoneticPr fontId="18"/>
  </si>
  <si>
    <t>（　収　益　明　細　書　）</t>
    <rPh sb="2" eb="3">
      <t>オサム</t>
    </rPh>
    <rPh sb="4" eb="5">
      <t>エキ</t>
    </rPh>
    <rPh sb="6" eb="11">
      <t>メイサイショ</t>
    </rPh>
    <phoneticPr fontId="18"/>
  </si>
  <si>
    <t>（単位：円）</t>
    <rPh sb="1" eb="3">
      <t>タンイ</t>
    </rPh>
    <rPh sb="4" eb="5">
      <t>エン</t>
    </rPh>
    <phoneticPr fontId="18"/>
  </si>
  <si>
    <t>科　　　　　目</t>
    <rPh sb="0" eb="7">
      <t>カモク</t>
    </rPh>
    <phoneticPr fontId="18"/>
  </si>
  <si>
    <t>摘　　　　　　　　　要</t>
    <rPh sb="0" eb="11">
      <t>テキヨウ</t>
    </rPh>
    <phoneticPr fontId="18"/>
  </si>
  <si>
    <t>金　　　額</t>
    <rPh sb="0" eb="1">
      <t>キン</t>
    </rPh>
    <rPh sb="4" eb="5">
      <t>ガク</t>
    </rPh>
    <phoneticPr fontId="18"/>
  </si>
  <si>
    <t>Ｎｏ</t>
  </si>
  <si>
    <t>(</t>
  </si>
  <si>
    <t>)</t>
  </si>
  <si>
    <t>　　　　　　　　　　　　　　　　　　　　　　合　　　　　　　計</t>
    <rPh sb="22" eb="23">
      <t>ゴウ</t>
    </rPh>
    <rPh sb="30" eb="31">
      <t>ゴウケイ</t>
    </rPh>
    <phoneticPr fontId="18"/>
  </si>
  <si>
    <t>（　費　用　明　細　書　）</t>
    <rPh sb="2" eb="3">
      <t>ヒ</t>
    </rPh>
    <rPh sb="4" eb="5">
      <t>ヨウ</t>
    </rPh>
    <rPh sb="6" eb="11">
      <t>メイサイショ</t>
    </rPh>
    <phoneticPr fontId="18"/>
  </si>
  <si>
    <t>細　　　目</t>
    <rPh sb="0" eb="5">
      <t>サイモク</t>
    </rPh>
    <phoneticPr fontId="18"/>
  </si>
  <si>
    <t>摘　　　　要</t>
    <rPh sb="0" eb="1">
      <t>テキ</t>
    </rPh>
    <rPh sb="5" eb="6">
      <t>テキヨウ</t>
    </rPh>
    <phoneticPr fontId="18"/>
  </si>
  <si>
    <t>新年会会場</t>
    <rPh sb="0" eb="3">
      <t>シンネンカイ</t>
    </rPh>
    <rPh sb="3" eb="5">
      <t>カイジョウ</t>
    </rPh>
    <phoneticPr fontId="18"/>
  </si>
  <si>
    <t>控室</t>
    <rPh sb="0" eb="2">
      <t>ヒカエシツ</t>
    </rPh>
    <phoneticPr fontId="18"/>
  </si>
  <si>
    <t>　小　　　　計</t>
    <rPh sb="1" eb="7">
      <t>ショウケイ</t>
    </rPh>
    <phoneticPr fontId="18"/>
  </si>
  <si>
    <t>演出費</t>
    <rPh sb="0" eb="2">
      <t>エンシュツ</t>
    </rPh>
    <rPh sb="2" eb="3">
      <t>ヒ</t>
    </rPh>
    <phoneticPr fontId="18"/>
  </si>
  <si>
    <t>横断幕、スクリーン</t>
    <rPh sb="0" eb="3">
      <t>オウダンマク</t>
    </rPh>
    <phoneticPr fontId="18"/>
  </si>
  <si>
    <t>ティーンズミュージカル佐賀</t>
    <rPh sb="11" eb="13">
      <t>サガ</t>
    </rPh>
    <phoneticPr fontId="18"/>
  </si>
  <si>
    <t>　小　　　　計</t>
    <rPh sb="1" eb="2">
      <t>ショウ</t>
    </rPh>
    <rPh sb="6" eb="7">
      <t>ショウケイ</t>
    </rPh>
    <phoneticPr fontId="18"/>
  </si>
  <si>
    <t>　合　　　　計</t>
    <rPh sb="1" eb="2">
      <t>ゴウ</t>
    </rPh>
    <rPh sb="6" eb="7">
      <t>ショウケイ</t>
    </rPh>
    <phoneticPr fontId="18"/>
  </si>
  <si>
    <t>〔様式5〕</t>
    <rPh sb="1" eb="3">
      <t>ヨウシキシキ</t>
    </rPh>
    <phoneticPr fontId="18"/>
  </si>
  <si>
    <t>（　事業名称　：２０２２年度新年会）</t>
  </si>
  <si>
    <t>採　　　用　　　企　　業</t>
  </si>
  <si>
    <t>相　見　積　企　業</t>
  </si>
  <si>
    <t>見積/請求№</t>
    <rPh sb="3" eb="5">
      <t>セイキュウ</t>
    </rPh>
    <phoneticPr fontId="18"/>
  </si>
  <si>
    <t>企　業　名</t>
  </si>
  <si>
    <t>支払内容（科目・細目）</t>
    <rPh sb="5" eb="7">
      <t>カモク</t>
    </rPh>
    <rPh sb="8" eb="10">
      <t>サイモク</t>
    </rPh>
    <phoneticPr fontId="18"/>
  </si>
  <si>
    <t>金  額</t>
  </si>
  <si>
    <t>有効期限</t>
  </si>
  <si>
    <t>見積№</t>
  </si>
  <si>
    <t>金額</t>
  </si>
  <si>
    <t>グランデはがくれ</t>
  </si>
  <si>
    <t>会場費・招待状等</t>
    <rPh sb="0" eb="2">
      <t>カイジョウ</t>
    </rPh>
    <rPh sb="2" eb="3">
      <t>ヒ</t>
    </rPh>
    <rPh sb="4" eb="7">
      <t>ショウタイジョウ</t>
    </rPh>
    <rPh sb="7" eb="8">
      <t>トウ</t>
    </rPh>
    <phoneticPr fontId="18"/>
  </si>
  <si>
    <t>日本郵政</t>
    <rPh sb="0" eb="2">
      <t>ニホン</t>
    </rPh>
    <rPh sb="2" eb="4">
      <t>ユウセイ</t>
    </rPh>
    <phoneticPr fontId="18"/>
  </si>
  <si>
    <t>切手</t>
    <rPh sb="0" eb="2">
      <t>キッテ</t>
    </rPh>
    <phoneticPr fontId="18"/>
  </si>
  <si>
    <t>ティーンズミュージカルＳＡＧＡ</t>
  </si>
  <si>
    <t>出演費</t>
    <rPh sb="0" eb="2">
      <t>シュツエン</t>
    </rPh>
    <rPh sb="2" eb="3">
      <t>ヒ</t>
    </rPh>
    <phoneticPr fontId="18"/>
  </si>
  <si>
    <t>合計金額</t>
    <rPh sb="2" eb="4">
      <t>キンガク</t>
    </rPh>
    <phoneticPr fontId="18"/>
  </si>
  <si>
    <t>※支払先が個人の場合は個人名を企業名欄に記載し、金額欄は源泉税込みの金額を記載すること。</t>
    <rPh sb="1" eb="3">
      <t>シハライ</t>
    </rPh>
    <rPh sb="3" eb="4">
      <t>サキ</t>
    </rPh>
    <rPh sb="5" eb="7">
      <t>コジン</t>
    </rPh>
    <rPh sb="8" eb="10">
      <t>バアイ</t>
    </rPh>
    <rPh sb="11" eb="14">
      <t>コジンメイ</t>
    </rPh>
    <rPh sb="15" eb="17">
      <t>キギョウ</t>
    </rPh>
    <rPh sb="17" eb="18">
      <t>メイ</t>
    </rPh>
    <rPh sb="18" eb="19">
      <t>ラン</t>
    </rPh>
    <rPh sb="20" eb="22">
      <t>キサイ</t>
    </rPh>
    <rPh sb="24" eb="26">
      <t>キンガク</t>
    </rPh>
    <rPh sb="26" eb="27">
      <t>ラン</t>
    </rPh>
    <rPh sb="28" eb="30">
      <t>ゲンセン</t>
    </rPh>
    <rPh sb="30" eb="31">
      <t>ゼイ</t>
    </rPh>
    <rPh sb="31" eb="32">
      <t>コ</t>
    </rPh>
    <rPh sb="34" eb="36">
      <t>キンガク</t>
    </rPh>
    <rPh sb="37" eb="39">
      <t>キサイ</t>
    </rPh>
    <phoneticPr fontId="18"/>
  </si>
  <si>
    <t>※見積書へ見積Ｎｏ．をまたは請求書へ請求Ｎｏ．を記載すること。</t>
    <rPh sb="1" eb="4">
      <t>ミツモリショ</t>
    </rPh>
    <rPh sb="5" eb="7">
      <t>ミツ</t>
    </rPh>
    <rPh sb="14" eb="17">
      <t>セイキュウショ</t>
    </rPh>
    <rPh sb="18" eb="20">
      <t>セイキュウ</t>
    </rPh>
    <rPh sb="24" eb="26">
      <t>キサイ</t>
    </rPh>
    <phoneticPr fontId="18"/>
  </si>
  <si>
    <t>※採用企業合計＋振込手数料＋予備費＝事業費合計になることを確認下さい。</t>
    <rPh sb="1" eb="3">
      <t>サイヨウ</t>
    </rPh>
    <rPh sb="3" eb="5">
      <t>キギョウ</t>
    </rPh>
    <rPh sb="5" eb="7">
      <t>ゴウケイ</t>
    </rPh>
    <rPh sb="8" eb="10">
      <t>フリコ</t>
    </rPh>
    <rPh sb="10" eb="13">
      <t>テスウリョウ</t>
    </rPh>
    <rPh sb="14" eb="17">
      <t>ヨビヒ</t>
    </rPh>
    <rPh sb="18" eb="20">
      <t>ジギョウ</t>
    </rPh>
    <rPh sb="20" eb="21">
      <t>ヒ</t>
    </rPh>
    <rPh sb="21" eb="23">
      <t>ゴウケイ</t>
    </rPh>
    <rPh sb="29" eb="31">
      <t>カクニン</t>
    </rPh>
    <rPh sb="31" eb="32">
      <t>クダ</t>
    </rPh>
    <phoneticPr fontId="18"/>
  </si>
  <si>
    <t>振込口座名義</t>
    <rPh sb="0" eb="6">
      <t>フリコミコウザメイギ</t>
    </rPh>
    <phoneticPr fontId="18"/>
  </si>
  <si>
    <t>支払銀行・支店名</t>
    <rPh sb="0" eb="2">
      <t>シハライ</t>
    </rPh>
    <rPh sb="2" eb="4">
      <t>ギンコウ</t>
    </rPh>
    <phoneticPr fontId="18"/>
  </si>
  <si>
    <t>口座番号</t>
    <rPh sb="0" eb="2">
      <t>コウザ</t>
    </rPh>
    <rPh sb="2" eb="4">
      <t>バンゴウ</t>
    </rPh>
    <phoneticPr fontId="18"/>
  </si>
  <si>
    <t>振込手数料</t>
    <rPh sb="0" eb="2">
      <t>フリコミ</t>
    </rPh>
    <rPh sb="2" eb="5">
      <t>テスウリョウ</t>
    </rPh>
    <phoneticPr fontId="18"/>
  </si>
  <si>
    <t>公立学校共済組合佐賀宿泊所グランデはがくれ</t>
    <rPh sb="0" eb="2">
      <t>コウリツ</t>
    </rPh>
    <rPh sb="2" eb="4">
      <t>ガッコウ</t>
    </rPh>
    <rPh sb="4" eb="6">
      <t>キョウサイ</t>
    </rPh>
    <rPh sb="6" eb="8">
      <t>クミアイ</t>
    </rPh>
    <rPh sb="8" eb="10">
      <t>サガ</t>
    </rPh>
    <rPh sb="10" eb="13">
      <t>シュクハクショ</t>
    </rPh>
    <phoneticPr fontId="18"/>
  </si>
  <si>
    <t>佐賀銀行本店</t>
    <rPh sb="0" eb="4">
      <t>サガギンコウ</t>
    </rPh>
    <rPh sb="4" eb="6">
      <t>ホンテン</t>
    </rPh>
    <phoneticPr fontId="18"/>
  </si>
  <si>
    <t>普通７９９３９７</t>
    <rPh sb="0" eb="2">
      <t>フツウ</t>
    </rPh>
    <phoneticPr fontId="18"/>
  </si>
  <si>
    <t>現金支払い</t>
  </si>
  <si>
    <t>現金支払い</t>
    <rPh sb="0" eb="4">
      <t>ゲンキンシハラ</t>
    </rPh>
    <phoneticPr fontId="18"/>
  </si>
  <si>
    <t>株式会社　スタジオ風のたね</t>
    <rPh sb="0" eb="4">
      <t>カブシキガイシャ</t>
    </rPh>
    <rPh sb="9" eb="10">
      <t>カゼ</t>
    </rPh>
    <phoneticPr fontId="18"/>
  </si>
  <si>
    <t>普通３０２８１３７</t>
    <rPh sb="0" eb="2">
      <t>フツウ</t>
    </rPh>
    <phoneticPr fontId="18"/>
  </si>
  <si>
    <t>合計金額</t>
    <rPh sb="0" eb="4">
      <t>ゴウケイキンガク</t>
    </rPh>
    <phoneticPr fontId="18"/>
  </si>
  <si>
    <t>-</t>
    <phoneticPr fontId="18"/>
  </si>
  <si>
    <t>お礼状一式（封筒含む）　５５枚</t>
    <rPh sb="3" eb="5">
      <t>イッシキ</t>
    </rPh>
    <rPh sb="6" eb="9">
      <t>フウトウフク</t>
    </rPh>
    <phoneticPr fontId="18"/>
  </si>
  <si>
    <t>招待状一式（返信ハガキ・封筒含む）　５５枚</t>
    <rPh sb="0" eb="3">
      <t>ショウタイジョウ</t>
    </rPh>
    <rPh sb="3" eb="5">
      <t>イッシキ</t>
    </rPh>
    <rPh sb="6" eb="8">
      <t>ヘンシン</t>
    </rPh>
    <rPh sb="12" eb="14">
      <t>フウトウ</t>
    </rPh>
    <rPh sb="14" eb="15">
      <t>フク</t>
    </rPh>
    <rPh sb="20" eb="21">
      <t>マイ</t>
    </rPh>
    <phoneticPr fontId="18"/>
  </si>
  <si>
    <t>ver.3</t>
    <phoneticPr fontId="18"/>
  </si>
  <si>
    <t xml:space="preserve">26,328	</t>
    <phoneticPr fontId="18"/>
  </si>
  <si>
    <t xml:space="preserve">12,100	</t>
    <phoneticPr fontId="18"/>
  </si>
  <si>
    <t>切手料（８４円×５５枚）×２</t>
    <rPh sb="0" eb="3">
      <t>キッテリョウ</t>
    </rPh>
    <rPh sb="6" eb="7">
      <t>エン</t>
    </rPh>
    <rPh sb="10" eb="11">
      <t>マイ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</si>
</sst>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0_ "/>
    <numFmt numFmtId="179" formatCode="#,##0;&quot;△ &quot;#,##0"/>
  </numFmts>
  <fonts count="3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8.25"/>
      <color rgb="FF0000D4"/>
      <name val="ＭＳ Ｐゴシック"/>
      <family val="3"/>
      <charset val="128"/>
    </font>
    <font>
      <u/>
      <sz val="11"/>
      <color rgb="FF80008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DD0806"/>
      <name val="ＭＳ Ｐゴシック"/>
      <family val="3"/>
      <charset val="128"/>
    </font>
    <font>
      <sz val="7"/>
      <name val="ＭＳ Ｐゴシック"/>
      <family val="3"/>
      <charset val="128"/>
    </font>
    <font>
      <u/>
      <sz val="8.25"/>
      <color rgb="FF0033CC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DD080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u/>
      <sz val="1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rgb="FF000000"/>
      </right>
      <top/>
      <bottom style="double">
        <color rgb="FF000000"/>
      </bottom>
      <diagonal/>
    </border>
    <border diagonalUp="1">
      <left style="thin">
        <color rgb="FF000000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/>
    <xf numFmtId="38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</cellStyleXfs>
  <cellXfs count="239">
    <xf numFmtId="0" fontId="19" fillId="0" borderId="0" xfId="0" applyFont="1" applyAlignment="1"/>
    <xf numFmtId="0" fontId="22" fillId="33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33" borderId="0" xfId="0" applyFont="1" applyFill="1" applyAlignment="1">
      <alignment horizontal="left" vertical="top"/>
    </xf>
    <xf numFmtId="0" fontId="0" fillId="33" borderId="0" xfId="0" applyFont="1" applyFill="1" applyAlignment="1">
      <alignment vertical="top" wrapText="1"/>
    </xf>
    <xf numFmtId="0" fontId="23" fillId="33" borderId="0" xfId="0" applyFont="1" applyFill="1" applyAlignment="1">
      <alignment horizontal="left"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33" borderId="0" xfId="0" applyFont="1" applyFill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4" fillId="33" borderId="17" xfId="0" applyFont="1" applyFill="1" applyBorder="1" applyAlignment="1">
      <alignment horizontal="center" vertical="center" wrapText="1"/>
    </xf>
    <xf numFmtId="0" fontId="25" fillId="33" borderId="18" xfId="0" applyFont="1" applyFill="1" applyBorder="1" applyAlignment="1">
      <alignment horizontal="left" vertical="center" wrapText="1"/>
    </xf>
    <xf numFmtId="0" fontId="23" fillId="33" borderId="12" xfId="0" applyFont="1" applyFill="1" applyBorder="1" applyAlignment="1">
      <alignment horizontal="left" vertical="center" wrapText="1"/>
    </xf>
    <xf numFmtId="0" fontId="25" fillId="33" borderId="0" xfId="0" applyFont="1" applyFill="1" applyAlignment="1">
      <alignment horizontal="left" vertical="center" wrapText="1"/>
    </xf>
    <xf numFmtId="0" fontId="24" fillId="33" borderId="19" xfId="0" applyFont="1" applyFill="1" applyBorder="1" applyAlignment="1">
      <alignment horizontal="center" vertical="center" wrapText="1"/>
    </xf>
    <xf numFmtId="0" fontId="26" fillId="33" borderId="18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top"/>
    </xf>
    <xf numFmtId="0" fontId="24" fillId="33" borderId="0" xfId="0" applyFont="1" applyFill="1" applyAlignment="1">
      <alignment horizontal="left" vertical="center" wrapText="1"/>
    </xf>
    <xf numFmtId="0" fontId="20" fillId="33" borderId="12" xfId="43" applyFill="1" applyBorder="1" applyAlignment="1">
      <alignment horizontal="left" vertical="center"/>
    </xf>
    <xf numFmtId="0" fontId="25" fillId="33" borderId="18" xfId="0" applyFont="1" applyFill="1" applyBorder="1" applyAlignment="1">
      <alignment vertical="center" wrapText="1"/>
    </xf>
    <xf numFmtId="0" fontId="20" fillId="33" borderId="20" xfId="43" applyFill="1" applyBorder="1" applyAlignment="1">
      <alignment horizontal="left" vertical="center"/>
    </xf>
    <xf numFmtId="0" fontId="24" fillId="33" borderId="21" xfId="0" applyFont="1" applyFill="1" applyBorder="1" applyAlignment="1">
      <alignment horizontal="left" vertical="center" wrapText="1"/>
    </xf>
    <xf numFmtId="0" fontId="25" fillId="33" borderId="17" xfId="0" applyFont="1" applyFill="1" applyBorder="1" applyAlignment="1">
      <alignment vertical="center" wrapText="1"/>
    </xf>
    <xf numFmtId="0" fontId="22" fillId="33" borderId="22" xfId="0" applyFont="1" applyFill="1" applyBorder="1" applyAlignment="1">
      <alignment horizontal="center" vertical="center"/>
    </xf>
    <xf numFmtId="0" fontId="22" fillId="33" borderId="16" xfId="0" applyFont="1" applyFill="1" applyBorder="1" applyAlignment="1">
      <alignment horizontal="center" vertical="center"/>
    </xf>
    <xf numFmtId="0" fontId="24" fillId="33" borderId="23" xfId="0" applyFont="1" applyFill="1" applyBorder="1" applyAlignment="1">
      <alignment horizontal="center" vertical="center" wrapText="1"/>
    </xf>
    <xf numFmtId="0" fontId="24" fillId="33" borderId="24" xfId="0" applyFont="1" applyFill="1" applyBorder="1" applyAlignment="1">
      <alignment horizontal="center" vertical="center" wrapText="1"/>
    </xf>
    <xf numFmtId="0" fontId="24" fillId="33" borderId="21" xfId="0" applyFont="1" applyFill="1" applyBorder="1" applyAlignment="1">
      <alignment horizontal="left" vertical="center"/>
    </xf>
    <xf numFmtId="0" fontId="20" fillId="33" borderId="0" xfId="43" applyFill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5" fillId="33" borderId="0" xfId="0" applyFont="1" applyFill="1" applyAlignment="1">
      <alignment vertical="center" wrapText="1"/>
    </xf>
    <xf numFmtId="0" fontId="28" fillId="33" borderId="18" xfId="0" applyFont="1" applyFill="1" applyBorder="1" applyAlignment="1">
      <alignment vertical="center" wrapText="1"/>
    </xf>
    <xf numFmtId="0" fontId="24" fillId="33" borderId="21" xfId="0" applyFont="1" applyFill="1" applyBorder="1" applyAlignment="1">
      <alignment horizontal="center" vertical="center" wrapText="1"/>
    </xf>
    <xf numFmtId="0" fontId="25" fillId="33" borderId="17" xfId="0" applyFont="1" applyFill="1" applyBorder="1" applyAlignment="1">
      <alignment horizontal="center" vertical="center" wrapText="1"/>
    </xf>
    <xf numFmtId="0" fontId="25" fillId="33" borderId="0" xfId="0" applyFont="1" applyFill="1" applyAlignment="1">
      <alignment horizontal="center" vertical="center" wrapText="1"/>
    </xf>
    <xf numFmtId="0" fontId="24" fillId="33" borderId="22" xfId="0" applyFont="1" applyFill="1" applyBorder="1" applyAlignment="1">
      <alignment horizontal="left" vertical="center"/>
    </xf>
    <xf numFmtId="0" fontId="25" fillId="33" borderId="16" xfId="0" applyFont="1" applyFill="1" applyBorder="1" applyAlignment="1">
      <alignment vertical="center" wrapText="1"/>
    </xf>
    <xf numFmtId="0" fontId="24" fillId="0" borderId="22" xfId="45" applyFont="1" applyFill="1" applyBorder="1" applyAlignment="1">
      <alignment horizontal="left" vertical="center"/>
    </xf>
    <xf numFmtId="0" fontId="25" fillId="0" borderId="16" xfId="45" applyFont="1" applyFill="1" applyBorder="1" applyAlignment="1">
      <alignment vertical="center" wrapText="1"/>
    </xf>
    <xf numFmtId="0" fontId="0" fillId="0" borderId="0" xfId="45" applyFont="1" applyFill="1"/>
    <xf numFmtId="0" fontId="20" fillId="0" borderId="12" xfId="43" applyBorder="1" applyAlignment="1">
      <alignment horizontal="left" vertical="center"/>
    </xf>
    <xf numFmtId="0" fontId="24" fillId="0" borderId="0" xfId="45" applyFont="1" applyFill="1" applyAlignment="1">
      <alignment horizontal="left" vertical="center" wrapText="1"/>
    </xf>
    <xf numFmtId="0" fontId="24" fillId="0" borderId="23" xfId="45" applyFont="1" applyFill="1" applyBorder="1" applyAlignment="1">
      <alignment horizontal="center" vertical="center" wrapText="1"/>
    </xf>
    <xf numFmtId="0" fontId="24" fillId="0" borderId="24" xfId="45" applyFont="1" applyFill="1" applyBorder="1" applyAlignment="1">
      <alignment horizontal="center" vertical="center" wrapText="1"/>
    </xf>
    <xf numFmtId="0" fontId="25" fillId="0" borderId="18" xfId="45" applyFont="1" applyFill="1" applyBorder="1" applyAlignment="1">
      <alignment vertical="center" wrapText="1"/>
    </xf>
    <xf numFmtId="0" fontId="24" fillId="0" borderId="19" xfId="45" applyFont="1" applyFill="1" applyBorder="1" applyAlignment="1">
      <alignment horizontal="center" vertical="center" wrapText="1"/>
    </xf>
    <xf numFmtId="0" fontId="24" fillId="0" borderId="17" xfId="45" applyFont="1" applyFill="1" applyBorder="1" applyAlignment="1">
      <alignment horizontal="center" vertical="center" wrapText="1"/>
    </xf>
    <xf numFmtId="0" fontId="29" fillId="0" borderId="12" xfId="43" applyFont="1" applyBorder="1" applyAlignment="1">
      <alignment horizontal="left" vertical="center"/>
    </xf>
    <xf numFmtId="0" fontId="29" fillId="0" borderId="20" xfId="43" applyFont="1" applyBorder="1" applyAlignment="1">
      <alignment horizontal="left" vertical="center"/>
    </xf>
    <xf numFmtId="0" fontId="25" fillId="0" borderId="21" xfId="45" applyFont="1" applyFill="1" applyBorder="1" applyAlignment="1">
      <alignment horizontal="left" vertical="center" wrapText="1"/>
    </xf>
    <xf numFmtId="0" fontId="24" fillId="33" borderId="22" xfId="0" applyFont="1" applyFill="1" applyBorder="1" applyAlignment="1">
      <alignment horizontal="center" vertical="center" wrapText="1"/>
    </xf>
    <xf numFmtId="0" fontId="0" fillId="0" borderId="16" xfId="0" applyFont="1" applyBorder="1" applyAlignment="1"/>
    <xf numFmtId="0" fontId="0" fillId="0" borderId="12" xfId="0" applyFont="1" applyBorder="1" applyAlignment="1"/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8" xfId="0" applyFont="1" applyBorder="1" applyAlignment="1"/>
    <xf numFmtId="0" fontId="0" fillId="0" borderId="17" xfId="0" applyFont="1" applyBorder="1" applyAlignment="1">
      <alignment horizontal="center"/>
    </xf>
    <xf numFmtId="0" fontId="24" fillId="0" borderId="18" xfId="45" applyFont="1" applyFill="1" applyBorder="1" applyAlignment="1">
      <alignment horizontal="left" vertical="center" wrapText="1"/>
    </xf>
    <xf numFmtId="0" fontId="0" fillId="0" borderId="20" xfId="0" applyFont="1" applyBorder="1" applyAlignment="1"/>
    <xf numFmtId="0" fontId="0" fillId="0" borderId="21" xfId="0" applyFont="1" applyBorder="1" applyAlignment="1"/>
    <xf numFmtId="0" fontId="24" fillId="0" borderId="17" xfId="45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31" fontId="0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distributed" vertical="center"/>
    </xf>
    <xf numFmtId="0" fontId="33" fillId="0" borderId="28" xfId="0" applyFont="1" applyBorder="1" applyAlignment="1">
      <alignment horizontal="center" vertical="center"/>
    </xf>
    <xf numFmtId="176" fontId="34" fillId="0" borderId="29" xfId="0" applyNumberFormat="1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76" fontId="34" fillId="0" borderId="0" xfId="0" applyNumberFormat="1" applyFont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176" fontId="34" fillId="0" borderId="32" xfId="0" applyNumberFormat="1" applyFont="1" applyBorder="1" applyAlignment="1">
      <alignment horizontal="left" vertical="center"/>
    </xf>
    <xf numFmtId="38" fontId="32" fillId="0" borderId="36" xfId="1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177" fontId="32" fillId="0" borderId="20" xfId="0" applyNumberFormat="1" applyFont="1" applyBorder="1" applyAlignment="1">
      <alignment horizontal="right" vertical="center"/>
    </xf>
    <xf numFmtId="0" fontId="31" fillId="0" borderId="21" xfId="0" applyFont="1" applyBorder="1" applyAlignment="1">
      <alignment horizontal="center" vertical="center"/>
    </xf>
    <xf numFmtId="178" fontId="32" fillId="0" borderId="21" xfId="0" applyNumberFormat="1" applyFont="1" applyBorder="1" applyAlignment="1">
      <alignment horizontal="right" vertical="center"/>
    </xf>
    <xf numFmtId="38" fontId="31" fillId="0" borderId="17" xfId="1" applyFont="1" applyBorder="1" applyAlignment="1">
      <alignment horizontal="center" vertical="center"/>
    </xf>
    <xf numFmtId="177" fontId="32" fillId="0" borderId="21" xfId="0" applyNumberFormat="1" applyFont="1" applyBorder="1" applyAlignment="1">
      <alignment horizontal="right" vertical="center"/>
    </xf>
    <xf numFmtId="179" fontId="32" fillId="0" borderId="37" xfId="1" applyNumberFormat="1" applyFont="1" applyBorder="1" applyAlignment="1">
      <alignment vertical="center"/>
    </xf>
    <xf numFmtId="179" fontId="32" fillId="0" borderId="21" xfId="1" applyNumberFormat="1" applyFont="1" applyBorder="1" applyAlignment="1">
      <alignment vertical="center"/>
    </xf>
    <xf numFmtId="179" fontId="32" fillId="0" borderId="19" xfId="1" applyNumberFormat="1" applyFont="1" applyBorder="1" applyAlignment="1">
      <alignment vertical="center"/>
    </xf>
    <xf numFmtId="179" fontId="32" fillId="0" borderId="39" xfId="1" applyNumberFormat="1" applyFont="1" applyBorder="1" applyAlignment="1">
      <alignment vertical="center"/>
    </xf>
    <xf numFmtId="0" fontId="19" fillId="0" borderId="0" xfId="46" applyFill="1" applyAlignment="1">
      <alignment vertical="center"/>
    </xf>
    <xf numFmtId="0" fontId="0" fillId="0" borderId="0" xfId="46" applyFont="1" applyFill="1"/>
    <xf numFmtId="0" fontId="0" fillId="0" borderId="0" xfId="46" applyFont="1" applyFill="1" applyAlignment="1">
      <alignment vertical="center"/>
    </xf>
    <xf numFmtId="0" fontId="0" fillId="0" borderId="0" xfId="46" applyFont="1" applyFill="1" applyAlignment="1">
      <alignment horizontal="right" vertical="center"/>
    </xf>
    <xf numFmtId="0" fontId="31" fillId="0" borderId="0" xfId="46" applyFont="1" applyBorder="1" applyAlignment="1">
      <alignment vertical="center"/>
    </xf>
    <xf numFmtId="0" fontId="31" fillId="0" borderId="0" xfId="46" applyFont="1" applyFill="1" applyAlignment="1">
      <alignment vertical="center"/>
    </xf>
    <xf numFmtId="0" fontId="0" fillId="0" borderId="10" xfId="46" applyFont="1" applyFill="1" applyBorder="1" applyAlignment="1">
      <alignment vertical="center"/>
    </xf>
    <xf numFmtId="0" fontId="0" fillId="0" borderId="16" xfId="46" applyFont="1" applyFill="1" applyBorder="1" applyAlignment="1">
      <alignment horizontal="center" vertical="center"/>
    </xf>
    <xf numFmtId="0" fontId="0" fillId="0" borderId="34" xfId="46" applyFont="1" applyFill="1" applyBorder="1" applyAlignment="1">
      <alignment vertical="center"/>
    </xf>
    <xf numFmtId="0" fontId="0" fillId="0" borderId="15" xfId="46" applyFont="1" applyFill="1" applyBorder="1" applyAlignment="1">
      <alignment horizontal="distributed" vertical="center"/>
    </xf>
    <xf numFmtId="0" fontId="0" fillId="0" borderId="15" xfId="46" applyFont="1" applyFill="1" applyBorder="1" applyAlignment="1">
      <alignment vertical="center"/>
    </xf>
    <xf numFmtId="0" fontId="0" fillId="0" borderId="24" xfId="46" applyFont="1" applyFill="1" applyBorder="1" applyAlignment="1">
      <alignment vertical="center"/>
    </xf>
    <xf numFmtId="0" fontId="0" fillId="0" borderId="20" xfId="46" applyFont="1" applyFill="1" applyBorder="1" applyAlignment="1">
      <alignment horizontal="center" vertical="center"/>
    </xf>
    <xf numFmtId="0" fontId="0" fillId="0" borderId="17" xfId="46" applyFont="1" applyFill="1" applyBorder="1" applyAlignment="1">
      <alignment horizontal="distributed" vertical="center"/>
    </xf>
    <xf numFmtId="179" fontId="0" fillId="0" borderId="17" xfId="46" applyNumberFormat="1" applyFont="1" applyFill="1" applyBorder="1" applyAlignment="1">
      <alignment vertical="center"/>
    </xf>
    <xf numFmtId="0" fontId="0" fillId="0" borderId="17" xfId="46" applyFont="1" applyFill="1" applyBorder="1" applyAlignment="1">
      <alignment vertical="center"/>
    </xf>
    <xf numFmtId="0" fontId="0" fillId="0" borderId="12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distributed" vertical="center"/>
    </xf>
    <xf numFmtId="179" fontId="0" fillId="0" borderId="18" xfId="46" applyNumberFormat="1" applyFont="1" applyFill="1" applyBorder="1" applyAlignment="1">
      <alignment vertical="center"/>
    </xf>
    <xf numFmtId="0" fontId="0" fillId="0" borderId="18" xfId="46" applyFont="1" applyFill="1" applyBorder="1" applyAlignment="1">
      <alignment vertical="center"/>
    </xf>
    <xf numFmtId="0" fontId="0" fillId="0" borderId="34" xfId="46" applyFont="1" applyFill="1" applyBorder="1" applyAlignment="1">
      <alignment horizontal="center" vertical="center"/>
    </xf>
    <xf numFmtId="179" fontId="0" fillId="0" borderId="15" xfId="46" applyNumberFormat="1" applyFont="1" applyFill="1" applyBorder="1" applyAlignment="1">
      <alignment vertical="center"/>
    </xf>
    <xf numFmtId="176" fontId="0" fillId="0" borderId="17" xfId="46" applyNumberFormat="1" applyFont="1" applyFill="1" applyBorder="1" applyAlignment="1">
      <alignment horizontal="right" vertical="center"/>
    </xf>
    <xf numFmtId="0" fontId="0" fillId="0" borderId="17" xfId="46" applyFont="1" applyFill="1" applyBorder="1" applyAlignment="1">
      <alignment vertical="center" shrinkToFit="1"/>
    </xf>
    <xf numFmtId="10" fontId="0" fillId="0" borderId="17" xfId="46" applyNumberFormat="1" applyFont="1" applyFill="1" applyBorder="1" applyAlignment="1">
      <alignment vertical="center"/>
    </xf>
    <xf numFmtId="0" fontId="0" fillId="0" borderId="20" xfId="46" applyFont="1" applyFill="1" applyBorder="1" applyAlignment="1">
      <alignment vertical="center"/>
    </xf>
    <xf numFmtId="0" fontId="0" fillId="0" borderId="0" xfId="46" applyFont="1" applyFill="1" applyAlignment="1">
      <alignment horizontal="justify" vertical="center"/>
    </xf>
    <xf numFmtId="0" fontId="0" fillId="0" borderId="0" xfId="46" applyFont="1" applyFill="1" applyAlignment="1">
      <alignment horizontal="center" vertical="center"/>
    </xf>
    <xf numFmtId="0" fontId="0" fillId="0" borderId="24" xfId="46" applyFont="1" applyFill="1" applyBorder="1" applyAlignment="1">
      <alignment horizontal="center" vertical="center"/>
    </xf>
    <xf numFmtId="0" fontId="0" fillId="0" borderId="20" xfId="46" applyFont="1" applyFill="1" applyBorder="1" applyAlignment="1">
      <alignment horizontal="right" vertical="center"/>
    </xf>
    <xf numFmtId="0" fontId="0" fillId="0" borderId="21" xfId="46" applyFont="1" applyFill="1" applyBorder="1" applyAlignment="1">
      <alignment horizontal="center" vertical="center"/>
    </xf>
    <xf numFmtId="0" fontId="0" fillId="0" borderId="21" xfId="46" applyFont="1" applyFill="1" applyBorder="1" applyAlignment="1">
      <alignment vertical="center"/>
    </xf>
    <xf numFmtId="179" fontId="0" fillId="0" borderId="17" xfId="1" applyNumberFormat="1" applyFont="1" applyFill="1" applyBorder="1" applyAlignment="1">
      <alignment vertical="center"/>
    </xf>
    <xf numFmtId="0" fontId="0" fillId="0" borderId="12" xfId="46" applyFont="1" applyFill="1" applyBorder="1" applyAlignment="1">
      <alignment horizontal="right" vertical="center"/>
    </xf>
    <xf numFmtId="0" fontId="20" fillId="0" borderId="41" xfId="43" applyFill="1" applyBorder="1" applyAlignment="1">
      <alignment horizontal="center" vertical="center"/>
    </xf>
    <xf numFmtId="0" fontId="0" fillId="0" borderId="17" xfId="46" applyFont="1" applyFill="1" applyBorder="1" applyAlignment="1">
      <alignment horizontal="center" vertical="center"/>
    </xf>
    <xf numFmtId="0" fontId="0" fillId="0" borderId="12" xfId="46" applyFont="1" applyFill="1" applyBorder="1" applyAlignment="1">
      <alignment vertical="center"/>
    </xf>
    <xf numFmtId="0" fontId="0" fillId="0" borderId="0" xfId="46" applyFont="1" applyFill="1" applyAlignment="1">
      <alignment horizontal="right"/>
    </xf>
    <xf numFmtId="0" fontId="32" fillId="0" borderId="0" xfId="46" applyFont="1" applyBorder="1" applyAlignment="1">
      <alignment horizontal="centerContinuous"/>
    </xf>
    <xf numFmtId="0" fontId="0" fillId="0" borderId="0" xfId="46" applyFont="1" applyBorder="1" applyAlignment="1">
      <alignment horizontal="centerContinuous"/>
    </xf>
    <xf numFmtId="0" fontId="25" fillId="0" borderId="45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center" vertical="center"/>
    </xf>
    <xf numFmtId="0" fontId="0" fillId="0" borderId="46" xfId="46" applyFont="1" applyFill="1" applyBorder="1" applyAlignment="1">
      <alignment horizontal="center" vertical="center"/>
    </xf>
    <xf numFmtId="0" fontId="0" fillId="0" borderId="47" xfId="46" applyFont="1" applyFill="1" applyBorder="1" applyAlignment="1">
      <alignment horizontal="center" vertical="center"/>
    </xf>
    <xf numFmtId="0" fontId="0" fillId="0" borderId="48" xfId="46" applyFont="1" applyFill="1" applyBorder="1" applyAlignment="1">
      <alignment horizontal="center" vertical="center"/>
    </xf>
    <xf numFmtId="179" fontId="0" fillId="0" borderId="24" xfId="1" applyNumberFormat="1" applyFont="1" applyBorder="1" applyAlignment="1">
      <alignment vertical="center"/>
    </xf>
    <xf numFmtId="0" fontId="35" fillId="0" borderId="24" xfId="46" applyFont="1" applyFill="1" applyBorder="1" applyAlignment="1">
      <alignment horizontal="center"/>
    </xf>
    <xf numFmtId="0" fontId="0" fillId="0" borderId="24" xfId="46" applyFont="1" applyFill="1" applyBorder="1"/>
    <xf numFmtId="179" fontId="0" fillId="0" borderId="49" xfId="1" applyNumberFormat="1" applyFont="1" applyBorder="1" applyAlignment="1"/>
    <xf numFmtId="179" fontId="0" fillId="0" borderId="17" xfId="1" applyNumberFormat="1" applyFont="1" applyBorder="1" applyAlignment="1">
      <alignment vertical="center"/>
    </xf>
    <xf numFmtId="0" fontId="35" fillId="0" borderId="17" xfId="46" applyFont="1" applyFill="1" applyBorder="1" applyAlignment="1">
      <alignment horizontal="center"/>
    </xf>
    <xf numFmtId="0" fontId="0" fillId="0" borderId="17" xfId="46" applyFont="1" applyFill="1" applyBorder="1"/>
    <xf numFmtId="179" fontId="0" fillId="0" borderId="50" xfId="1" applyNumberFormat="1" applyFont="1" applyBorder="1" applyAlignment="1"/>
    <xf numFmtId="0" fontId="0" fillId="0" borderId="52" xfId="46" applyFont="1" applyFill="1" applyBorder="1" applyAlignment="1">
      <alignment vertical="center"/>
    </xf>
    <xf numFmtId="179" fontId="0" fillId="0" borderId="52" xfId="1" applyNumberFormat="1" applyFont="1" applyBorder="1" applyAlignment="1">
      <alignment vertical="center"/>
    </xf>
    <xf numFmtId="0" fontId="35" fillId="0" borderId="52" xfId="46" applyFont="1" applyFill="1" applyBorder="1" applyAlignment="1">
      <alignment horizontal="center"/>
    </xf>
    <xf numFmtId="0" fontId="0" fillId="0" borderId="52" xfId="46" applyFont="1" applyFill="1" applyBorder="1"/>
    <xf numFmtId="179" fontId="0" fillId="0" borderId="53" xfId="1" applyNumberFormat="1" applyFont="1" applyBorder="1" applyAlignment="1"/>
    <xf numFmtId="0" fontId="0" fillId="0" borderId="52" xfId="46" applyFont="1" applyFill="1" applyBorder="1" applyAlignment="1">
      <alignment horizontal="center"/>
    </xf>
    <xf numFmtId="179" fontId="0" fillId="0" borderId="53" xfId="1" applyNumberFormat="1" applyFont="1" applyBorder="1" applyAlignment="1">
      <alignment horizontal="right"/>
    </xf>
    <xf numFmtId="179" fontId="0" fillId="0" borderId="0" xfId="1" applyNumberFormat="1" applyFont="1" applyAlignment="1"/>
    <xf numFmtId="0" fontId="36" fillId="0" borderId="0" xfId="0" applyFont="1" applyAlignment="1"/>
    <xf numFmtId="0" fontId="23" fillId="0" borderId="0" xfId="46" applyFont="1" applyBorder="1"/>
    <xf numFmtId="0" fontId="36" fillId="0" borderId="0" xfId="46" applyFont="1" applyFill="1"/>
    <xf numFmtId="0" fontId="38" fillId="0" borderId="0" xfId="46" applyFont="1" applyFill="1" applyAlignment="1">
      <alignment horizontal="left"/>
    </xf>
    <xf numFmtId="0" fontId="0" fillId="0" borderId="0" xfId="46" applyFont="1" applyFill="1" applyAlignment="1">
      <alignment horizontal="left"/>
    </xf>
    <xf numFmtId="0" fontId="25" fillId="0" borderId="54" xfId="46" applyFont="1" applyFill="1" applyBorder="1" applyAlignment="1">
      <alignment horizontal="center" vertical="center"/>
    </xf>
    <xf numFmtId="0" fontId="0" fillId="0" borderId="55" xfId="46" applyFont="1" applyFill="1" applyBorder="1" applyAlignment="1">
      <alignment horizontal="center" vertical="center"/>
    </xf>
    <xf numFmtId="0" fontId="0" fillId="0" borderId="28" xfId="46" applyFont="1" applyFill="1" applyBorder="1" applyAlignment="1">
      <alignment horizontal="center" vertical="center"/>
    </xf>
    <xf numFmtId="0" fontId="0" fillId="0" borderId="56" xfId="46" applyFont="1" applyFill="1" applyBorder="1" applyAlignment="1">
      <alignment horizontal="center" vertical="center"/>
    </xf>
    <xf numFmtId="0" fontId="20" fillId="0" borderId="57" xfId="43" applyBorder="1" applyAlignment="1">
      <alignment horizontal="center" vertical="center"/>
    </xf>
    <xf numFmtId="0" fontId="0" fillId="0" borderId="58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top" wrapText="1"/>
    </xf>
    <xf numFmtId="0" fontId="0" fillId="0" borderId="43" xfId="0" applyFont="1" applyBorder="1" applyAlignment="1">
      <alignment horizontal="left" vertical="center"/>
    </xf>
    <xf numFmtId="0" fontId="0" fillId="0" borderId="59" xfId="0" applyFont="1" applyBorder="1" applyAlignment="1">
      <alignment vertical="center"/>
    </xf>
    <xf numFmtId="0" fontId="0" fillId="0" borderId="0" xfId="46" applyFont="1" applyFill="1" applyAlignment="1">
      <alignment horizontal="left" vertical="center" indent="1"/>
    </xf>
    <xf numFmtId="176" fontId="0" fillId="0" borderId="0" xfId="46" applyNumberFormat="1" applyFont="1" applyFill="1" applyAlignment="1">
      <alignment vertical="center"/>
    </xf>
    <xf numFmtId="0" fontId="0" fillId="0" borderId="52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top" wrapText="1"/>
    </xf>
    <xf numFmtId="0" fontId="0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vertical="center"/>
    </xf>
    <xf numFmtId="0" fontId="0" fillId="0" borderId="51" xfId="46" applyFont="1" applyFill="1" applyBorder="1" applyAlignment="1">
      <alignment horizontal="right"/>
    </xf>
    <xf numFmtId="179" fontId="0" fillId="0" borderId="53" xfId="46" applyNumberFormat="1" applyFont="1" applyFill="1" applyBorder="1"/>
    <xf numFmtId="0" fontId="20" fillId="0" borderId="51" xfId="43" applyFill="1" applyBorder="1" applyAlignment="1">
      <alignment horizontal="center" vertical="center"/>
    </xf>
    <xf numFmtId="0" fontId="0" fillId="0" borderId="0" xfId="46" applyFont="1" applyFill="1" applyBorder="1" applyAlignment="1">
      <alignment horizontal="center" vertical="center"/>
    </xf>
    <xf numFmtId="0" fontId="0" fillId="0" borderId="0" xfId="46" applyFont="1" applyFill="1" applyBorder="1" applyAlignment="1">
      <alignment vertical="center"/>
    </xf>
    <xf numFmtId="179" fontId="0" fillId="0" borderId="23" xfId="46" applyNumberFormat="1" applyFont="1" applyFill="1" applyBorder="1" applyAlignment="1">
      <alignment vertical="center"/>
    </xf>
    <xf numFmtId="0" fontId="0" fillId="0" borderId="23" xfId="46" applyFont="1" applyFill="1" applyBorder="1" applyAlignment="1">
      <alignment horizontal="center" vertical="center"/>
    </xf>
    <xf numFmtId="0" fontId="20" fillId="0" borderId="23" xfId="43" applyBorder="1" applyAlignment="1">
      <alignment horizontal="center" vertical="center"/>
    </xf>
    <xf numFmtId="0" fontId="20" fillId="0" borderId="23" xfId="43" applyFill="1" applyBorder="1" applyAlignment="1">
      <alignment horizontal="center" vertical="center"/>
    </xf>
    <xf numFmtId="0" fontId="23" fillId="0" borderId="10" xfId="0" applyFont="1" applyBorder="1" applyAlignment="1"/>
    <xf numFmtId="0" fontId="23" fillId="0" borderId="22" xfId="0" applyFont="1" applyBorder="1" applyAlignment="1"/>
    <xf numFmtId="0" fontId="23" fillId="33" borderId="10" xfId="0" applyFont="1" applyFill="1" applyBorder="1" applyAlignment="1">
      <alignment horizontal="left" vertical="center" wrapText="1"/>
    </xf>
    <xf numFmtId="0" fontId="23" fillId="33" borderId="22" xfId="0" applyFont="1" applyFill="1" applyBorder="1" applyAlignment="1">
      <alignment horizontal="left" vertical="center" wrapText="1"/>
    </xf>
    <xf numFmtId="0" fontId="23" fillId="0" borderId="10" xfId="45" applyFont="1" applyBorder="1" applyAlignment="1">
      <alignment horizontal="left" vertical="center" wrapText="1"/>
    </xf>
    <xf numFmtId="0" fontId="23" fillId="0" borderId="22" xfId="45" applyFont="1" applyBorder="1" applyAlignment="1">
      <alignment horizontal="left" vertical="center" wrapText="1"/>
    </xf>
    <xf numFmtId="0" fontId="25" fillId="0" borderId="21" xfId="45" applyFont="1" applyBorder="1" applyAlignment="1">
      <alignment vertical="center" wrapText="1"/>
    </xf>
    <xf numFmtId="0" fontId="25" fillId="0" borderId="25" xfId="45" applyFont="1" applyBorder="1" applyAlignment="1">
      <alignment vertical="center" wrapText="1"/>
    </xf>
    <xf numFmtId="0" fontId="22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left" wrapText="1"/>
    </xf>
    <xf numFmtId="0" fontId="23" fillId="33" borderId="11" xfId="0" applyFont="1" applyFill="1" applyBorder="1" applyAlignment="1">
      <alignment horizontal="left" wrapText="1"/>
    </xf>
    <xf numFmtId="0" fontId="23" fillId="33" borderId="12" xfId="0" applyFont="1" applyFill="1" applyBorder="1" applyAlignment="1">
      <alignment horizontal="left" wrapText="1"/>
    </xf>
    <xf numFmtId="0" fontId="23" fillId="33" borderId="13" xfId="0" applyFont="1" applyFill="1" applyBorder="1" applyAlignment="1">
      <alignment horizontal="left" wrapText="1"/>
    </xf>
    <xf numFmtId="0" fontId="24" fillId="33" borderId="26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49" fontId="32" fillId="0" borderId="34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32" fillId="0" borderId="26" xfId="0" applyNumberFormat="1" applyFont="1" applyBorder="1" applyAlignment="1">
      <alignment horizontal="center" vertical="center"/>
    </xf>
    <xf numFmtId="38" fontId="0" fillId="0" borderId="40" xfId="1" applyFont="1" applyBorder="1" applyAlignment="1">
      <alignment vertical="center"/>
    </xf>
    <xf numFmtId="38" fontId="0" fillId="0" borderId="38" xfId="1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0" fillId="0" borderId="33" xfId="0" applyFont="1" applyBorder="1" applyAlignment="1">
      <alignment vertical="center"/>
    </xf>
    <xf numFmtId="49" fontId="32" fillId="0" borderId="26" xfId="0" applyNumberFormat="1" applyFont="1" applyBorder="1" applyAlignment="1">
      <alignment horizontal="center" vertical="center" wrapText="1"/>
    </xf>
    <xf numFmtId="49" fontId="32" fillId="0" borderId="15" xfId="0" applyNumberFormat="1" applyFont="1" applyBorder="1" applyAlignment="1">
      <alignment horizontal="center" vertical="center" wrapText="1"/>
    </xf>
    <xf numFmtId="49" fontId="32" fillId="0" borderId="14" xfId="0" applyNumberFormat="1" applyFont="1" applyBorder="1" applyAlignment="1">
      <alignment horizontal="center" vertical="center" wrapText="1"/>
    </xf>
    <xf numFmtId="38" fontId="32" fillId="0" borderId="26" xfId="1" applyFont="1" applyBorder="1" applyAlignment="1">
      <alignment horizontal="center" vertical="center" wrapText="1"/>
    </xf>
    <xf numFmtId="38" fontId="32" fillId="0" borderId="35" xfId="1" applyFont="1" applyBorder="1" applyAlignment="1">
      <alignment horizontal="center" vertical="center" wrapText="1"/>
    </xf>
    <xf numFmtId="38" fontId="32" fillId="0" borderId="34" xfId="1" applyFont="1" applyBorder="1" applyAlignment="1">
      <alignment vertical="center"/>
    </xf>
    <xf numFmtId="38" fontId="32" fillId="0" borderId="35" xfId="1" applyFont="1" applyBorder="1" applyAlignment="1">
      <alignment vertical="center"/>
    </xf>
    <xf numFmtId="0" fontId="31" fillId="0" borderId="21" xfId="46" applyFont="1" applyBorder="1" applyAlignment="1">
      <alignment horizontal="left" vertical="center"/>
    </xf>
    <xf numFmtId="0" fontId="0" fillId="0" borderId="34" xfId="46" applyFont="1" applyBorder="1" applyAlignment="1">
      <alignment horizontal="center" vertical="center"/>
    </xf>
    <xf numFmtId="0" fontId="0" fillId="0" borderId="15" xfId="46" applyFont="1" applyBorder="1" applyAlignment="1">
      <alignment horizontal="center" vertical="center"/>
    </xf>
    <xf numFmtId="0" fontId="0" fillId="0" borderId="14" xfId="46" applyFont="1" applyBorder="1" applyAlignment="1">
      <alignment horizontal="center" vertical="center"/>
    </xf>
    <xf numFmtId="0" fontId="0" fillId="0" borderId="0" xfId="46" applyFont="1" applyBorder="1" applyAlignment="1">
      <alignment horizontal="right" vertical="center"/>
    </xf>
    <xf numFmtId="0" fontId="0" fillId="0" borderId="21" xfId="46" applyFont="1" applyBorder="1" applyAlignment="1">
      <alignment horizontal="center" vertical="center"/>
    </xf>
    <xf numFmtId="0" fontId="0" fillId="0" borderId="21" xfId="46" applyFont="1" applyBorder="1" applyAlignment="1">
      <alignment horizontal="left" vertical="center"/>
    </xf>
    <xf numFmtId="0" fontId="0" fillId="0" borderId="26" xfId="46" applyFont="1" applyBorder="1" applyAlignment="1">
      <alignment horizontal="center" vertical="center"/>
    </xf>
    <xf numFmtId="0" fontId="0" fillId="0" borderId="34" xfId="46" applyFont="1" applyBorder="1" applyAlignment="1">
      <alignment vertical="center"/>
    </xf>
    <xf numFmtId="0" fontId="0" fillId="0" borderId="14" xfId="46" applyFont="1" applyBorder="1" applyAlignment="1">
      <alignment vertical="center"/>
    </xf>
    <xf numFmtId="0" fontId="0" fillId="0" borderId="42" xfId="46" applyFont="1" applyBorder="1" applyAlignment="1">
      <alignment horizontal="center"/>
    </xf>
    <xf numFmtId="0" fontId="0" fillId="0" borderId="43" xfId="46" applyFont="1" applyBorder="1" applyAlignment="1">
      <alignment horizontal="center"/>
    </xf>
    <xf numFmtId="0" fontId="0" fillId="0" borderId="44" xfId="46" applyFont="1" applyBorder="1" applyAlignment="1">
      <alignment horizontal="center"/>
    </xf>
    <xf numFmtId="0" fontId="0" fillId="0" borderId="60" xfId="46" applyFont="1" applyBorder="1" applyAlignment="1">
      <alignment horizontal="center"/>
    </xf>
    <xf numFmtId="0" fontId="0" fillId="0" borderId="62" xfId="46" applyFont="1" applyBorder="1" applyAlignment="1">
      <alignment horizontal="center"/>
    </xf>
    <xf numFmtId="0" fontId="0" fillId="0" borderId="28" xfId="46" applyFont="1" applyBorder="1"/>
    <xf numFmtId="0" fontId="0" fillId="0" borderId="61" xfId="46" applyFont="1" applyBorder="1"/>
    <xf numFmtId="0" fontId="0" fillId="0" borderId="0" xfId="46" applyFont="1" applyBorder="1"/>
    <xf numFmtId="0" fontId="37" fillId="0" borderId="0" xfId="46" applyFont="1" applyBorder="1" applyAlignment="1">
      <alignment horizontal="left"/>
    </xf>
    <xf numFmtId="179" fontId="0" fillId="0" borderId="17" xfId="46" applyNumberFormat="1" applyFont="1" applyFill="1" applyBorder="1" applyAlignment="1">
      <alignment horizontal="right" vertical="center"/>
    </xf>
    <xf numFmtId="179" fontId="0" fillId="0" borderId="18" xfId="46" applyNumberFormat="1" applyFont="1" applyFill="1" applyBorder="1" applyAlignment="1">
      <alignment horizontal="right" vertical="center"/>
    </xf>
    <xf numFmtId="31" fontId="0" fillId="0" borderId="24" xfId="46" applyNumberFormat="1" applyFont="1" applyFill="1" applyBorder="1"/>
    <xf numFmtId="31" fontId="0" fillId="0" borderId="17" xfId="46" applyNumberFormat="1" applyFont="1" applyFill="1" applyBorder="1" applyAlignment="1">
      <alignment horizontal="center"/>
    </xf>
    <xf numFmtId="31" fontId="0" fillId="0" borderId="52" xfId="46" applyNumberFormat="1" applyFont="1" applyFill="1" applyBorder="1" applyAlignment="1">
      <alignment horizontal="right"/>
    </xf>
    <xf numFmtId="0" fontId="0" fillId="0" borderId="17" xfId="46" applyFont="1" applyFill="1" applyBorder="1" applyAlignment="1">
      <alignment vertical="center" wrapText="1"/>
    </xf>
  </cellXfs>
  <cellStyles count="47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ハイパーリンク" xfId="43" builtinId="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標準 2" xfId="45" xr:uid="{00000000-0005-0000-0000-00002B000000}"/>
    <cellStyle name="標準_様式ファイル(上程委員会向）" xfId="46" xr:uid="{00000000-0005-0000-0000-00002C000000}"/>
    <cellStyle name="表示済みのハイパーリンク" xfId="44" builtinId="9" customBuiltin="1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2</xdr:row>
      <xdr:rowOff>381000</xdr:rowOff>
    </xdr:from>
    <xdr:to>
      <xdr:col>19</xdr:col>
      <xdr:colOff>406400</xdr:colOff>
      <xdr:row>10</xdr:row>
      <xdr:rowOff>88900</xdr:rowOff>
    </xdr:to>
    <xdr:pic>
      <xdr:nvPicPr>
        <xdr:cNvPr id="1237" name="角丸四角形 2">
          <a:extLst>
            <a:ext uri="{FF2B5EF4-FFF2-40B4-BE49-F238E27FC236}">
              <a16:creationId xmlns:a16="http://schemas.microsoft.com/office/drawing/2014/main" id="{1F36415D-AB10-48EC-BF43-D3397DC8AB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04050" y="869950"/>
          <a:ext cx="3371850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itsumori\gurandehagakure_heyadai.pdf" TargetMode="External"/><Relationship Id="rId7" Type="http://schemas.openxmlformats.org/officeDocument/2006/relationships/hyperlink" Target="mitsumori\mitsumori_kitte.pdf" TargetMode="External"/><Relationship Id="rId2" Type="http://schemas.openxmlformats.org/officeDocument/2006/relationships/hyperlink" Target="mitsumori\gurandehagakure_heyadai.pdf" TargetMode="External"/><Relationship Id="rId1" Type="http://schemas.openxmlformats.org/officeDocument/2006/relationships/hyperlink" Target="mitsumori\gurandehagakure_heyadai.pdf" TargetMode="External"/><Relationship Id="rId6" Type="http://schemas.openxmlformats.org/officeDocument/2006/relationships/hyperlink" Target="mitsumori\teensmyujikaru_mitumori.PDF" TargetMode="External"/><Relationship Id="rId5" Type="http://schemas.openxmlformats.org/officeDocument/2006/relationships/hyperlink" Target="mitsumori\gurandehagakure_heyadai.pdf" TargetMode="External"/><Relationship Id="rId4" Type="http://schemas.openxmlformats.org/officeDocument/2006/relationships/hyperlink" Target="mitsumori\gurandehagakure_heyadai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itsumori\gurandehagakure_heyadai.pdf" TargetMode="External"/><Relationship Id="rId2" Type="http://schemas.openxmlformats.org/officeDocument/2006/relationships/hyperlink" Target="mitsumori\teensmyujikaru_mitumori.PDF" TargetMode="External"/><Relationship Id="rId1" Type="http://schemas.openxmlformats.org/officeDocument/2006/relationships/hyperlink" Target="mitsumori\mitsumori_kitte.pdf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itsumori\teensmyujikaru_mitumori.PDF" TargetMode="External"/><Relationship Id="rId4" Type="http://schemas.openxmlformats.org/officeDocument/2006/relationships/hyperlink" Target="mitsumori\gurandehagakure_heyada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showGridLines="0" workbookViewId="0">
      <selection sqref="A1:M1"/>
    </sheetView>
  </sheetViews>
  <sheetFormatPr defaultRowHeight="13" x14ac:dyDescent="0.2"/>
  <cols>
    <col min="1" max="1" width="5.6328125" customWidth="1"/>
    <col min="2" max="2" width="23.36328125" customWidth="1"/>
    <col min="3" max="12" width="3.08984375" customWidth="1"/>
    <col min="13" max="13" width="39.453125" customWidth="1"/>
    <col min="14" max="14" width="9.453125"/>
    <col min="15" max="15" width="3.453125" customWidth="1"/>
    <col min="16" max="17" width="9.453125"/>
    <col min="18" max="18" width="2.08984375" customWidth="1"/>
  </cols>
  <sheetData>
    <row r="1" spans="1:26" ht="33.75" customHeight="1" x14ac:dyDescent="0.2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.2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75" customHeight="1" x14ac:dyDescent="0.2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3</v>
      </c>
      <c r="N3" s="8"/>
      <c r="O3" s="9"/>
      <c r="P3" s="2"/>
      <c r="Q3" s="3"/>
      <c r="R3" s="8" t="s">
        <v>4</v>
      </c>
      <c r="S3" s="2"/>
      <c r="T3" s="2"/>
      <c r="U3" s="2"/>
      <c r="V3" s="2"/>
      <c r="W3" s="2"/>
      <c r="X3" s="2"/>
      <c r="Y3" s="2"/>
      <c r="Z3" s="2"/>
    </row>
    <row r="4" spans="1:26" ht="15" customHeight="1" x14ac:dyDescent="0.2">
      <c r="A4" s="190" t="s">
        <v>5</v>
      </c>
      <c r="B4" s="191"/>
      <c r="C4" s="194" t="s">
        <v>6</v>
      </c>
      <c r="D4" s="195"/>
      <c r="E4" s="194" t="s">
        <v>7</v>
      </c>
      <c r="F4" s="195"/>
      <c r="G4" s="194" t="s">
        <v>8</v>
      </c>
      <c r="H4" s="195"/>
      <c r="I4" s="194" t="s">
        <v>9</v>
      </c>
      <c r="J4" s="195"/>
      <c r="K4" s="194" t="s">
        <v>10</v>
      </c>
      <c r="L4" s="195"/>
      <c r="M4" s="11"/>
      <c r="N4" s="8"/>
      <c r="O4" s="9"/>
      <c r="P4" s="2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2">
      <c r="A5" s="192"/>
      <c r="B5" s="193"/>
      <c r="C5" s="12" t="s">
        <v>11</v>
      </c>
      <c r="D5" s="12" t="s">
        <v>12</v>
      </c>
      <c r="E5" s="12" t="s">
        <v>11</v>
      </c>
      <c r="F5" s="12" t="s">
        <v>12</v>
      </c>
      <c r="G5" s="12" t="s">
        <v>11</v>
      </c>
      <c r="H5" s="12" t="s">
        <v>12</v>
      </c>
      <c r="I5" s="12" t="s">
        <v>11</v>
      </c>
      <c r="J5" s="12" t="s">
        <v>12</v>
      </c>
      <c r="K5" s="12" t="s">
        <v>11</v>
      </c>
      <c r="L5" s="12" t="s">
        <v>12</v>
      </c>
      <c r="M5" s="13" t="s">
        <v>13</v>
      </c>
      <c r="N5" s="8"/>
      <c r="O5" s="9"/>
      <c r="P5" s="2"/>
      <c r="Q5" s="3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14"/>
      <c r="B6" s="15" t="s">
        <v>14</v>
      </c>
      <c r="C6" s="16" t="s">
        <v>15</v>
      </c>
      <c r="D6" s="12" t="s">
        <v>16</v>
      </c>
      <c r="E6" s="12" t="s">
        <v>15</v>
      </c>
      <c r="F6" s="12" t="s">
        <v>15</v>
      </c>
      <c r="G6" s="12" t="s">
        <v>15</v>
      </c>
      <c r="H6" s="12" t="s">
        <v>15</v>
      </c>
      <c r="I6" s="12" t="s">
        <v>15</v>
      </c>
      <c r="J6" s="12" t="s">
        <v>15</v>
      </c>
      <c r="K6" s="12" t="s">
        <v>15</v>
      </c>
      <c r="L6" s="12" t="s">
        <v>15</v>
      </c>
      <c r="M6" s="17" t="s">
        <v>17</v>
      </c>
      <c r="N6" s="18"/>
      <c r="O6" s="1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">
      <c r="A7" s="14"/>
      <c r="B7" s="19" t="s">
        <v>18</v>
      </c>
      <c r="C7" s="16" t="s">
        <v>15</v>
      </c>
      <c r="D7" s="12" t="s">
        <v>16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  <c r="M7" s="17" t="s">
        <v>19</v>
      </c>
      <c r="N7" s="18"/>
      <c r="O7" s="1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">
      <c r="A8" s="20" t="s">
        <v>20</v>
      </c>
      <c r="B8" s="19" t="s">
        <v>21</v>
      </c>
      <c r="C8" s="16" t="s">
        <v>15</v>
      </c>
      <c r="D8" s="12" t="s">
        <v>16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16</v>
      </c>
      <c r="L8" s="12" t="s">
        <v>16</v>
      </c>
      <c r="M8" s="21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20" t="s">
        <v>22</v>
      </c>
      <c r="B9" s="19" t="s">
        <v>23</v>
      </c>
      <c r="C9" s="16" t="s">
        <v>15</v>
      </c>
      <c r="D9" s="12" t="s">
        <v>16</v>
      </c>
      <c r="E9" s="12" t="s">
        <v>15</v>
      </c>
      <c r="F9" s="12" t="s">
        <v>15</v>
      </c>
      <c r="G9" s="12" t="s">
        <v>15</v>
      </c>
      <c r="H9" s="12" t="s">
        <v>15</v>
      </c>
      <c r="I9" s="12" t="s">
        <v>15</v>
      </c>
      <c r="J9" s="12" t="s">
        <v>15</v>
      </c>
      <c r="K9" s="12" t="s">
        <v>16</v>
      </c>
      <c r="L9" s="12" t="s">
        <v>16</v>
      </c>
      <c r="M9" s="21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0" t="s">
        <v>25</v>
      </c>
      <c r="B10" s="19" t="s">
        <v>26</v>
      </c>
      <c r="C10" s="16" t="s">
        <v>15</v>
      </c>
      <c r="D10" s="12" t="s">
        <v>16</v>
      </c>
      <c r="E10" s="12" t="s">
        <v>15</v>
      </c>
      <c r="F10" s="12" t="s">
        <v>15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0" t="s">
        <v>27</v>
      </c>
      <c r="B11" s="19" t="s">
        <v>28</v>
      </c>
      <c r="C11" s="16" t="s">
        <v>15</v>
      </c>
      <c r="D11" s="12" t="s">
        <v>16</v>
      </c>
      <c r="E11" s="12" t="s">
        <v>15</v>
      </c>
      <c r="F11" s="12" t="s">
        <v>15</v>
      </c>
      <c r="G11" s="12" t="s">
        <v>16</v>
      </c>
      <c r="H11" s="12" t="s">
        <v>16</v>
      </c>
      <c r="I11" s="12" t="s">
        <v>16</v>
      </c>
      <c r="J11" s="12" t="s">
        <v>16</v>
      </c>
      <c r="K11" s="12" t="s">
        <v>16</v>
      </c>
      <c r="L11" s="12" t="s">
        <v>16</v>
      </c>
      <c r="M11" s="2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">
      <c r="A12" s="20" t="s">
        <v>29</v>
      </c>
      <c r="B12" s="19" t="s">
        <v>30</v>
      </c>
      <c r="C12" s="16" t="s">
        <v>15</v>
      </c>
      <c r="D12" s="12" t="s">
        <v>16</v>
      </c>
      <c r="E12" s="12" t="s">
        <v>15</v>
      </c>
      <c r="F12" s="12" t="s">
        <v>15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21" t="s">
        <v>31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">
      <c r="A13" s="20" t="s">
        <v>32</v>
      </c>
      <c r="B13" s="19" t="s">
        <v>33</v>
      </c>
      <c r="C13" s="16" t="s">
        <v>34</v>
      </c>
      <c r="D13" s="12" t="s">
        <v>16</v>
      </c>
      <c r="E13" s="12" t="s">
        <v>34</v>
      </c>
      <c r="F13" s="12" t="s">
        <v>35</v>
      </c>
      <c r="G13" s="12" t="s">
        <v>34</v>
      </c>
      <c r="H13" s="12" t="s">
        <v>35</v>
      </c>
      <c r="I13" s="12" t="s">
        <v>16</v>
      </c>
      <c r="J13" s="12" t="s">
        <v>16</v>
      </c>
      <c r="K13" s="12" t="s">
        <v>34</v>
      </c>
      <c r="L13" s="12" t="s">
        <v>34</v>
      </c>
      <c r="M13" s="13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">
      <c r="A14" s="20" t="s">
        <v>37</v>
      </c>
      <c r="B14" s="19" t="s">
        <v>38</v>
      </c>
      <c r="C14" s="16" t="s">
        <v>34</v>
      </c>
      <c r="D14" s="12" t="s">
        <v>16</v>
      </c>
      <c r="E14" s="12" t="s">
        <v>34</v>
      </c>
      <c r="F14" s="12" t="s">
        <v>34</v>
      </c>
      <c r="G14" s="12" t="s">
        <v>34</v>
      </c>
      <c r="H14" s="12" t="s">
        <v>34</v>
      </c>
      <c r="I14" s="12" t="s">
        <v>34</v>
      </c>
      <c r="J14" s="12" t="s">
        <v>34</v>
      </c>
      <c r="K14" s="12" t="s">
        <v>16</v>
      </c>
      <c r="L14" s="12" t="s">
        <v>16</v>
      </c>
      <c r="M14" s="21" t="s">
        <v>39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20" t="s">
        <v>40</v>
      </c>
      <c r="B15" s="19" t="s">
        <v>41</v>
      </c>
      <c r="C15" s="16" t="s">
        <v>34</v>
      </c>
      <c r="D15" s="12" t="s">
        <v>16</v>
      </c>
      <c r="E15" s="12" t="s">
        <v>34</v>
      </c>
      <c r="F15" s="12" t="s">
        <v>34</v>
      </c>
      <c r="G15" s="12" t="s">
        <v>34</v>
      </c>
      <c r="H15" s="12" t="s">
        <v>34</v>
      </c>
      <c r="I15" s="12" t="s">
        <v>34</v>
      </c>
      <c r="J15" s="12" t="s">
        <v>34</v>
      </c>
      <c r="K15" s="12" t="s">
        <v>16</v>
      </c>
      <c r="L15" s="12" t="s">
        <v>16</v>
      </c>
      <c r="M15" s="21" t="s">
        <v>42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20" t="s">
        <v>43</v>
      </c>
      <c r="B16" s="19" t="s">
        <v>44</v>
      </c>
      <c r="C16" s="16" t="s">
        <v>34</v>
      </c>
      <c r="D16" s="12" t="s">
        <v>16</v>
      </c>
      <c r="E16" s="12" t="s">
        <v>34</v>
      </c>
      <c r="F16" s="12" t="s">
        <v>34</v>
      </c>
      <c r="G16" s="12" t="s">
        <v>34</v>
      </c>
      <c r="H16" s="12" t="s">
        <v>34</v>
      </c>
      <c r="I16" s="12" t="s">
        <v>34</v>
      </c>
      <c r="J16" s="12" t="s">
        <v>34</v>
      </c>
      <c r="K16" s="12" t="s">
        <v>16</v>
      </c>
      <c r="L16" s="12" t="s">
        <v>16</v>
      </c>
      <c r="M16" s="21" t="s">
        <v>45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20" t="s">
        <v>46</v>
      </c>
      <c r="B17" s="19" t="s">
        <v>47</v>
      </c>
      <c r="C17" s="16" t="s">
        <v>16</v>
      </c>
      <c r="D17" s="12" t="s">
        <v>16</v>
      </c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15</v>
      </c>
      <c r="L17" s="12" t="s">
        <v>15</v>
      </c>
      <c r="M17" s="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0" t="s">
        <v>48</v>
      </c>
      <c r="B18" s="19" t="s">
        <v>49</v>
      </c>
      <c r="C18" s="16" t="s">
        <v>16</v>
      </c>
      <c r="D18" s="12" t="s">
        <v>16</v>
      </c>
      <c r="E18" s="12" t="s">
        <v>16</v>
      </c>
      <c r="F18" s="12" t="s">
        <v>16</v>
      </c>
      <c r="G18" s="12" t="s">
        <v>16</v>
      </c>
      <c r="H18" s="12" t="s">
        <v>16</v>
      </c>
      <c r="I18" s="12" t="s">
        <v>16</v>
      </c>
      <c r="J18" s="12" t="s">
        <v>16</v>
      </c>
      <c r="K18" s="12" t="s">
        <v>15</v>
      </c>
      <c r="L18" s="12" t="s">
        <v>15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0" t="s">
        <v>50</v>
      </c>
      <c r="B19" s="19" t="s">
        <v>51</v>
      </c>
      <c r="C19" s="16" t="s">
        <v>16</v>
      </c>
      <c r="D19" s="12" t="s">
        <v>16</v>
      </c>
      <c r="E19" s="12" t="s">
        <v>16</v>
      </c>
      <c r="F19" s="12" t="s">
        <v>16</v>
      </c>
      <c r="G19" s="12" t="s">
        <v>15</v>
      </c>
      <c r="H19" s="12" t="s">
        <v>15</v>
      </c>
      <c r="I19" s="12" t="s">
        <v>15</v>
      </c>
      <c r="J19" s="12" t="s">
        <v>15</v>
      </c>
      <c r="K19" s="12" t="s">
        <v>34</v>
      </c>
      <c r="L19" s="12" t="s">
        <v>34</v>
      </c>
      <c r="M19" s="21" t="s">
        <v>52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0" t="s">
        <v>53</v>
      </c>
      <c r="B20" s="19" t="s">
        <v>54</v>
      </c>
      <c r="C20" s="16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15</v>
      </c>
      <c r="L20" s="12" t="s">
        <v>15</v>
      </c>
      <c r="M20" s="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0" t="s">
        <v>55</v>
      </c>
      <c r="B21" s="19" t="s">
        <v>56</v>
      </c>
      <c r="C21" s="16" t="s">
        <v>16</v>
      </c>
      <c r="D21" s="12" t="s">
        <v>16</v>
      </c>
      <c r="E21" s="12" t="s">
        <v>16</v>
      </c>
      <c r="F21" s="12" t="s">
        <v>16</v>
      </c>
      <c r="G21" s="12" t="s">
        <v>15</v>
      </c>
      <c r="H21" s="12" t="s">
        <v>15</v>
      </c>
      <c r="I21" s="12" t="s">
        <v>15</v>
      </c>
      <c r="J21" s="12" t="s">
        <v>15</v>
      </c>
      <c r="K21" s="12" t="s">
        <v>16</v>
      </c>
      <c r="L21" s="12" t="s">
        <v>16</v>
      </c>
      <c r="M21" s="21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2" t="s">
        <v>58</v>
      </c>
      <c r="B22" s="23" t="s">
        <v>59</v>
      </c>
      <c r="C22" s="16" t="s">
        <v>16</v>
      </c>
      <c r="D22" s="12" t="s">
        <v>16</v>
      </c>
      <c r="E22" s="12" t="s">
        <v>16</v>
      </c>
      <c r="F22" s="12" t="s">
        <v>16</v>
      </c>
      <c r="G22" s="12" t="s">
        <v>15</v>
      </c>
      <c r="H22" s="12" t="s">
        <v>15</v>
      </c>
      <c r="I22" s="12" t="s">
        <v>15</v>
      </c>
      <c r="J22" s="12" t="s">
        <v>15</v>
      </c>
      <c r="K22" s="12" t="s">
        <v>16</v>
      </c>
      <c r="L22" s="12" t="s">
        <v>16</v>
      </c>
      <c r="M22" s="24" t="s">
        <v>57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" customHeight="1" x14ac:dyDescent="0.2">
      <c r="A24" s="183" t="s">
        <v>60</v>
      </c>
      <c r="B24" s="18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0" t="s">
        <v>61</v>
      </c>
      <c r="B25" s="19" t="s">
        <v>62</v>
      </c>
      <c r="C25" s="27" t="s">
        <v>34</v>
      </c>
      <c r="D25" s="28" t="s">
        <v>16</v>
      </c>
      <c r="E25" s="28" t="s">
        <v>34</v>
      </c>
      <c r="F25" s="28" t="s">
        <v>34</v>
      </c>
      <c r="G25" s="28" t="s">
        <v>34</v>
      </c>
      <c r="H25" s="28" t="s">
        <v>34</v>
      </c>
      <c r="I25" s="28" t="s">
        <v>34</v>
      </c>
      <c r="J25" s="28" t="s">
        <v>34</v>
      </c>
      <c r="K25" s="28" t="s">
        <v>16</v>
      </c>
      <c r="L25" s="28" t="s">
        <v>16</v>
      </c>
      <c r="M25" s="21" t="s">
        <v>63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" x14ac:dyDescent="0.2">
      <c r="A26" s="20" t="s">
        <v>64</v>
      </c>
      <c r="B26" s="19" t="s">
        <v>65</v>
      </c>
      <c r="C26" s="16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  <c r="H26" s="12" t="s">
        <v>16</v>
      </c>
      <c r="I26" s="12" t="s">
        <v>16</v>
      </c>
      <c r="J26" s="12" t="s">
        <v>16</v>
      </c>
      <c r="K26" s="12" t="s">
        <v>34</v>
      </c>
      <c r="L26" s="12" t="s">
        <v>34</v>
      </c>
      <c r="M26" s="21" t="s">
        <v>66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22" t="s">
        <v>67</v>
      </c>
      <c r="B27" s="29" t="s">
        <v>68</v>
      </c>
      <c r="C27" s="16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  <c r="H27" s="12" t="s">
        <v>16</v>
      </c>
      <c r="I27" s="12" t="s">
        <v>16</v>
      </c>
      <c r="J27" s="12" t="s">
        <v>16</v>
      </c>
      <c r="K27" s="12" t="s">
        <v>16</v>
      </c>
      <c r="L27" s="12" t="s">
        <v>16</v>
      </c>
      <c r="M27" s="24" t="s">
        <v>69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0"/>
      <c r="B28" s="3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x14ac:dyDescent="0.2">
      <c r="A29" s="183" t="s">
        <v>70</v>
      </c>
      <c r="B29" s="18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3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0" t="s">
        <v>71</v>
      </c>
      <c r="B30" s="19" t="s">
        <v>72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1" t="s">
        <v>73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0" t="s">
        <v>74</v>
      </c>
      <c r="B31" s="19" t="s">
        <v>75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3" t="s">
        <v>76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0" t="s">
        <v>77</v>
      </c>
      <c r="B32" s="19" t="s">
        <v>78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1" t="s">
        <v>79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2" t="s">
        <v>80</v>
      </c>
      <c r="B33" s="23" t="s">
        <v>81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3"/>
      <c r="X33" s="3"/>
      <c r="Y33" s="3"/>
      <c r="Z33" s="3"/>
    </row>
    <row r="34" spans="1:26" x14ac:dyDescent="0.2">
      <c r="A34" s="30"/>
      <c r="B34" s="1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6"/>
      <c r="N34" s="10"/>
      <c r="O34" s="10"/>
      <c r="P34" s="10"/>
      <c r="Q34" s="10"/>
      <c r="R34" s="10"/>
      <c r="S34" s="10"/>
      <c r="T34" s="10"/>
      <c r="U34" s="10"/>
      <c r="V34" s="10"/>
      <c r="W34" s="3"/>
      <c r="X34" s="3"/>
      <c r="Y34" s="3"/>
      <c r="Z34" s="3"/>
    </row>
    <row r="35" spans="1:26" x14ac:dyDescent="0.2">
      <c r="A35" s="183" t="s">
        <v>82</v>
      </c>
      <c r="B35" s="184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0" t="s">
        <v>83</v>
      </c>
      <c r="B36" s="19" t="s">
        <v>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1" t="s">
        <v>85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2" t="s">
        <v>86</v>
      </c>
      <c r="B37" s="23" t="s">
        <v>87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 t="s">
        <v>88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3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85" t="s">
        <v>89</v>
      </c>
      <c r="B39" s="186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2" x14ac:dyDescent="0.2">
      <c r="A40" s="42" t="s">
        <v>90</v>
      </c>
      <c r="B40" s="43" t="s">
        <v>91</v>
      </c>
      <c r="C40" s="44" t="s">
        <v>15</v>
      </c>
      <c r="D40" s="45" t="s">
        <v>16</v>
      </c>
      <c r="E40" s="45" t="s">
        <v>15</v>
      </c>
      <c r="F40" s="45" t="s">
        <v>15</v>
      </c>
      <c r="G40" s="45" t="s">
        <v>15</v>
      </c>
      <c r="H40" s="45" t="s">
        <v>15</v>
      </c>
      <c r="I40" s="45" t="s">
        <v>15</v>
      </c>
      <c r="J40" s="45" t="s">
        <v>15</v>
      </c>
      <c r="K40" s="45" t="s">
        <v>15</v>
      </c>
      <c r="L40" s="45" t="s">
        <v>15</v>
      </c>
      <c r="M40" s="46" t="s">
        <v>92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2">
      <c r="A41" s="42" t="s">
        <v>93</v>
      </c>
      <c r="B41" s="43" t="s">
        <v>94</v>
      </c>
      <c r="C41" s="47" t="s">
        <v>16</v>
      </c>
      <c r="D41" s="48" t="s">
        <v>16</v>
      </c>
      <c r="E41" s="48" t="s">
        <v>16</v>
      </c>
      <c r="F41" s="48" t="s">
        <v>16</v>
      </c>
      <c r="G41" s="48" t="s">
        <v>16</v>
      </c>
      <c r="H41" s="48" t="s">
        <v>16</v>
      </c>
      <c r="I41" s="48" t="s">
        <v>16</v>
      </c>
      <c r="J41" s="48" t="s">
        <v>16</v>
      </c>
      <c r="K41" s="48" t="s">
        <v>15</v>
      </c>
      <c r="L41" s="48" t="s">
        <v>15</v>
      </c>
      <c r="M41" s="46" t="s">
        <v>95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2">
      <c r="A42" s="42" t="s">
        <v>96</v>
      </c>
      <c r="B42" s="43" t="s">
        <v>97</v>
      </c>
      <c r="C42" s="47" t="s">
        <v>16</v>
      </c>
      <c r="D42" s="48" t="s">
        <v>16</v>
      </c>
      <c r="E42" s="48" t="s">
        <v>16</v>
      </c>
      <c r="F42" s="48" t="s">
        <v>16</v>
      </c>
      <c r="G42" s="48" t="s">
        <v>16</v>
      </c>
      <c r="H42" s="48" t="s">
        <v>16</v>
      </c>
      <c r="I42" s="48" t="s">
        <v>16</v>
      </c>
      <c r="J42" s="48" t="s">
        <v>16</v>
      </c>
      <c r="K42" s="48" t="s">
        <v>15</v>
      </c>
      <c r="L42" s="48" t="s">
        <v>15</v>
      </c>
      <c r="M42" s="46" t="s">
        <v>98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2">
      <c r="A43" s="49" t="s">
        <v>99</v>
      </c>
      <c r="B43" s="43" t="s">
        <v>100</v>
      </c>
      <c r="C43" s="47" t="s">
        <v>16</v>
      </c>
      <c r="D43" s="48" t="s">
        <v>16</v>
      </c>
      <c r="E43" s="48" t="s">
        <v>16</v>
      </c>
      <c r="F43" s="48" t="s">
        <v>16</v>
      </c>
      <c r="G43" s="48" t="s">
        <v>16</v>
      </c>
      <c r="H43" s="48" t="s">
        <v>16</v>
      </c>
      <c r="I43" s="48" t="s">
        <v>16</v>
      </c>
      <c r="J43" s="48" t="s">
        <v>16</v>
      </c>
      <c r="K43" s="48" t="s">
        <v>15</v>
      </c>
      <c r="L43" s="48" t="s">
        <v>15</v>
      </c>
      <c r="M43" s="46" t="s">
        <v>101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9" x14ac:dyDescent="0.2">
      <c r="A44" s="50" t="s">
        <v>102</v>
      </c>
      <c r="B44" s="51" t="s">
        <v>103</v>
      </c>
      <c r="C44" s="187" t="s">
        <v>104</v>
      </c>
      <c r="D44" s="187"/>
      <c r="E44" s="187"/>
      <c r="F44" s="187"/>
      <c r="G44" s="187"/>
      <c r="H44" s="187"/>
      <c r="I44" s="187"/>
      <c r="J44" s="187"/>
      <c r="K44" s="187"/>
      <c r="L44" s="187"/>
      <c r="M44" s="188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83" t="s">
        <v>105</v>
      </c>
      <c r="B46" s="184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2"/>
      <c r="B47" s="23" t="s">
        <v>106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24" t="s">
        <v>107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2">
      <c r="A49" s="181" t="s">
        <v>108</v>
      </c>
      <c r="B49" s="18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2">
      <c r="A50" s="54"/>
      <c r="B50" s="2" t="s">
        <v>109</v>
      </c>
      <c r="C50" s="55" t="s">
        <v>15</v>
      </c>
      <c r="D50" s="56" t="s">
        <v>15</v>
      </c>
      <c r="E50" s="56" t="s">
        <v>15</v>
      </c>
      <c r="F50" s="56" t="s">
        <v>35</v>
      </c>
      <c r="G50" s="56" t="s">
        <v>15</v>
      </c>
      <c r="H50" s="56" t="s">
        <v>35</v>
      </c>
      <c r="I50" s="56" t="s">
        <v>15</v>
      </c>
      <c r="J50" s="56" t="s">
        <v>35</v>
      </c>
      <c r="K50" s="45" t="s">
        <v>16</v>
      </c>
      <c r="L50" s="45" t="s">
        <v>16</v>
      </c>
      <c r="M50" s="5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2">
      <c r="A51" s="54"/>
      <c r="B51" s="2" t="s">
        <v>110</v>
      </c>
      <c r="C51" s="47" t="s">
        <v>16</v>
      </c>
      <c r="D51" s="48" t="s">
        <v>16</v>
      </c>
      <c r="E51" s="48" t="s">
        <v>16</v>
      </c>
      <c r="F51" s="48" t="s">
        <v>16</v>
      </c>
      <c r="G51" s="48" t="s">
        <v>16</v>
      </c>
      <c r="H51" s="48" t="s">
        <v>16</v>
      </c>
      <c r="I51" s="48" t="s">
        <v>16</v>
      </c>
      <c r="J51" s="48" t="s">
        <v>16</v>
      </c>
      <c r="K51" s="58" t="s">
        <v>15</v>
      </c>
      <c r="L51" s="58" t="s">
        <v>15</v>
      </c>
      <c r="M51" s="59" t="s">
        <v>111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2">
      <c r="A52" s="60"/>
      <c r="B52" s="61" t="s">
        <v>112</v>
      </c>
      <c r="C52" s="47" t="s">
        <v>16</v>
      </c>
      <c r="D52" s="48" t="s">
        <v>16</v>
      </c>
      <c r="E52" s="48" t="s">
        <v>16</v>
      </c>
      <c r="F52" s="48" t="s">
        <v>16</v>
      </c>
      <c r="G52" s="48" t="s">
        <v>16</v>
      </c>
      <c r="H52" s="48" t="s">
        <v>16</v>
      </c>
      <c r="I52" s="48" t="s">
        <v>16</v>
      </c>
      <c r="J52" s="48" t="s">
        <v>16</v>
      </c>
      <c r="K52" s="58" t="s">
        <v>15</v>
      </c>
      <c r="L52" s="58" t="s">
        <v>15</v>
      </c>
      <c r="M52" s="62" t="s">
        <v>113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2">
      <c r="A53" s="2"/>
      <c r="B53" s="2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3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mergeCells count="14">
    <mergeCell ref="C44:M44"/>
    <mergeCell ref="A46:B46"/>
    <mergeCell ref="A1:M1"/>
    <mergeCell ref="A4:B5"/>
    <mergeCell ref="C4:D4"/>
    <mergeCell ref="E4:F4"/>
    <mergeCell ref="G4:H4"/>
    <mergeCell ref="I4:J4"/>
    <mergeCell ref="K4:L4"/>
    <mergeCell ref="A49:B49"/>
    <mergeCell ref="A24:B24"/>
    <mergeCell ref="A29:B29"/>
    <mergeCell ref="A35:B35"/>
    <mergeCell ref="A39:B39"/>
  </mergeCells>
  <phoneticPr fontId="18"/>
  <hyperlinks>
    <hyperlink ref="A40" location="財審様式!A1" display="財審様式!A1" xr:uid="{00000000-0004-0000-0000-000000000000}"/>
    <hyperlink ref="A41" location="財審様式!A1" display="財審様式!A1" xr:uid="{00000000-0004-0000-0000-000001000000}"/>
    <hyperlink ref="A42" location="財審様式!A1" display="財審様式!A1" xr:uid="{00000000-0004-0000-0000-000002000000}"/>
    <hyperlink ref="A44" location="財審様式!A1" display="財審様式!A1" xr:uid="{00000000-0004-0000-0000-000003000000}"/>
  </hyperlinks>
  <printOptions horizontalCentered="1"/>
  <pageMargins left="0.24" right="0.24" top="0.75" bottom="0.75" header="0.31" footer="0.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showGridLines="0" tabSelected="1" topLeftCell="A13" workbookViewId="0">
      <selection activeCell="N4" sqref="N4"/>
    </sheetView>
  </sheetViews>
  <sheetFormatPr defaultColWidth="8.7265625" defaultRowHeight="13" x14ac:dyDescent="0.2"/>
  <cols>
    <col min="1" max="1" width="1.90625" style="64" customWidth="1"/>
    <col min="2" max="2" width="6.90625" style="64" customWidth="1"/>
    <col min="3" max="3" width="5.90625" style="64" customWidth="1"/>
    <col min="4" max="4" width="4.81640625" style="64" bestFit="1" customWidth="1"/>
    <col min="5" max="5" width="3.6328125" style="64" customWidth="1"/>
    <col min="6" max="6" width="6.08984375" style="64" customWidth="1"/>
    <col min="7" max="7" width="3.6328125" style="64" customWidth="1"/>
    <col min="8" max="8" width="5.453125" style="64" customWidth="1"/>
    <col min="9" max="9" width="3.6328125" style="64" customWidth="1"/>
    <col min="10" max="10" width="5.6328125" style="64" customWidth="1"/>
    <col min="11" max="11" width="49" style="64" customWidth="1"/>
    <col min="12" max="12" width="22" style="64" customWidth="1"/>
    <col min="13" max="13" width="20.08984375" style="64" customWidth="1"/>
    <col min="14" max="14" width="25.453125" style="64" customWidth="1"/>
    <col min="15" max="15" width="2" style="64" customWidth="1"/>
    <col min="16" max="20" width="3.6328125" style="64" customWidth="1"/>
    <col min="21" max="16384" width="8.7265625" style="64"/>
  </cols>
  <sheetData>
    <row r="1" spans="1:14" ht="1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 t="s">
        <v>114</v>
      </c>
    </row>
    <row r="2" spans="1:14" ht="1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7">
        <v>44537</v>
      </c>
    </row>
    <row r="3" spans="1:14" ht="1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 t="s">
        <v>236</v>
      </c>
    </row>
    <row r="4" spans="1:14" ht="15" customHeight="1" x14ac:dyDescent="0.2">
      <c r="A4" s="65"/>
      <c r="B4" s="202" t="s">
        <v>115</v>
      </c>
      <c r="C4" s="202"/>
      <c r="D4" s="202"/>
      <c r="E4" s="202"/>
      <c r="F4" s="202"/>
      <c r="G4" s="202"/>
      <c r="H4" s="202"/>
      <c r="I4" s="69"/>
      <c r="J4" s="65"/>
      <c r="K4" s="65"/>
      <c r="L4" s="65"/>
      <c r="M4" s="65"/>
      <c r="N4" s="65"/>
    </row>
    <row r="5" spans="1:14" ht="5.25" customHeight="1" x14ac:dyDescent="0.2">
      <c r="A5" s="65"/>
      <c r="B5" s="68"/>
      <c r="C5" s="68"/>
      <c r="D5" s="68"/>
      <c r="E5" s="68"/>
      <c r="F5" s="68"/>
      <c r="G5" s="68"/>
      <c r="H5" s="68"/>
      <c r="I5" s="69"/>
      <c r="J5" s="65"/>
      <c r="K5" s="65"/>
      <c r="L5" s="65"/>
      <c r="M5" s="65"/>
      <c r="N5" s="65"/>
    </row>
    <row r="6" spans="1:14" ht="3.75" customHeight="1" x14ac:dyDescent="0.2">
      <c r="A6" s="65"/>
      <c r="B6" s="68"/>
      <c r="C6" s="68"/>
      <c r="D6" s="68"/>
      <c r="E6" s="68"/>
      <c r="F6" s="68"/>
      <c r="G6" s="68"/>
      <c r="H6" s="68"/>
      <c r="I6" s="69"/>
      <c r="J6" s="65"/>
      <c r="K6" s="65"/>
      <c r="L6" s="65"/>
      <c r="M6" s="65"/>
      <c r="N6" s="65"/>
    </row>
    <row r="7" spans="1:14" ht="18" customHeight="1" x14ac:dyDescent="0.2">
      <c r="A7" s="65"/>
      <c r="B7" s="69" t="s">
        <v>116</v>
      </c>
      <c r="C7" s="69"/>
      <c r="D7" s="69"/>
      <c r="E7" s="69"/>
      <c r="F7" s="69"/>
      <c r="G7" s="69"/>
      <c r="H7" s="69"/>
      <c r="I7" s="69"/>
      <c r="J7" s="69" t="s">
        <v>117</v>
      </c>
      <c r="K7" s="65"/>
      <c r="L7" s="65"/>
      <c r="M7" s="65"/>
      <c r="N7" s="65"/>
    </row>
    <row r="8" spans="1:14" ht="15" customHeight="1" x14ac:dyDescent="0.2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02" t="s">
        <v>115</v>
      </c>
      <c r="N8" s="202"/>
    </row>
    <row r="9" spans="1:14" ht="33" customHeight="1" x14ac:dyDescent="0.2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02" t="s">
        <v>118</v>
      </c>
      <c r="N9" s="202"/>
    </row>
    <row r="10" spans="1:14" ht="18" customHeight="1" x14ac:dyDescent="0.2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9"/>
      <c r="M10" s="68" t="s">
        <v>119</v>
      </c>
      <c r="N10" s="66" t="s">
        <v>120</v>
      </c>
    </row>
    <row r="11" spans="1:14" ht="15" customHeight="1" x14ac:dyDescent="0.2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</row>
    <row r="12" spans="1:14" ht="29.25" customHeight="1" thickBot="1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203" t="s">
        <v>121</v>
      </c>
      <c r="K12" s="203"/>
      <c r="L12" s="203"/>
      <c r="M12" s="70"/>
      <c r="N12" s="71"/>
    </row>
    <row r="13" spans="1:14" ht="31.5" customHeight="1" thickBot="1" x14ac:dyDescent="0.25">
      <c r="A13" s="65"/>
      <c r="B13" s="203" t="s">
        <v>122</v>
      </c>
      <c r="C13" s="203"/>
      <c r="D13" s="203"/>
      <c r="E13" s="203"/>
      <c r="F13" s="203"/>
      <c r="G13" s="203"/>
      <c r="H13" s="203"/>
      <c r="I13" s="204"/>
      <c r="J13" s="72" t="s">
        <v>123</v>
      </c>
      <c r="K13" s="73">
        <v>300000</v>
      </c>
      <c r="L13" s="74"/>
      <c r="M13" s="75"/>
      <c r="N13" s="76"/>
    </row>
    <row r="14" spans="1:14" ht="31.5" customHeight="1" thickTop="1" thickBot="1" x14ac:dyDescent="0.25">
      <c r="A14" s="65"/>
      <c r="B14" s="203" t="s">
        <v>124</v>
      </c>
      <c r="C14" s="203"/>
      <c r="D14" s="203"/>
      <c r="E14" s="203"/>
      <c r="F14" s="203"/>
      <c r="G14" s="203"/>
      <c r="H14" s="203"/>
      <c r="I14" s="205"/>
      <c r="J14" s="77" t="s">
        <v>123</v>
      </c>
      <c r="K14" s="78">
        <v>300000</v>
      </c>
      <c r="L14" s="74"/>
      <c r="M14" s="75"/>
      <c r="N14" s="76"/>
    </row>
    <row r="15" spans="1:14" ht="25.5" customHeight="1" thickTop="1" thickBo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206" t="s">
        <v>125</v>
      </c>
      <c r="K15" s="206"/>
      <c r="L15" s="65"/>
      <c r="M15" s="65"/>
      <c r="N15" s="65"/>
    </row>
    <row r="16" spans="1:14" ht="42.75" customHeight="1" thickTop="1" x14ac:dyDescent="0.2">
      <c r="A16" s="65"/>
      <c r="B16" s="196" t="s">
        <v>126</v>
      </c>
      <c r="C16" s="197"/>
      <c r="D16" s="197"/>
      <c r="E16" s="198"/>
      <c r="F16" s="207" t="s">
        <v>127</v>
      </c>
      <c r="G16" s="208"/>
      <c r="H16" s="208"/>
      <c r="I16" s="209"/>
      <c r="J16" s="210" t="s">
        <v>128</v>
      </c>
      <c r="K16" s="211"/>
      <c r="L16" s="79" t="s">
        <v>129</v>
      </c>
      <c r="M16" s="80" t="s">
        <v>130</v>
      </c>
      <c r="N16" s="81" t="s">
        <v>131</v>
      </c>
    </row>
    <row r="17" spans="1:14" ht="30" customHeight="1" x14ac:dyDescent="0.2">
      <c r="A17" s="65"/>
      <c r="B17" s="82">
        <v>1</v>
      </c>
      <c r="C17" s="83" t="s">
        <v>132</v>
      </c>
      <c r="D17" s="84">
        <v>17</v>
      </c>
      <c r="E17" s="85" t="s">
        <v>133</v>
      </c>
      <c r="F17" s="86">
        <v>1</v>
      </c>
      <c r="G17" s="83" t="s">
        <v>132</v>
      </c>
      <c r="H17" s="84">
        <v>17</v>
      </c>
      <c r="I17" s="85" t="s">
        <v>133</v>
      </c>
      <c r="J17" s="212" t="s">
        <v>134</v>
      </c>
      <c r="K17" s="213"/>
      <c r="L17" s="87">
        <v>142000</v>
      </c>
      <c r="M17" s="88"/>
      <c r="N17" s="89">
        <f>$L$17</f>
        <v>142000</v>
      </c>
    </row>
    <row r="18" spans="1:14" ht="30" customHeight="1" thickBot="1" x14ac:dyDescent="0.25">
      <c r="A18" s="65"/>
      <c r="B18" s="196"/>
      <c r="C18" s="197"/>
      <c r="D18" s="197"/>
      <c r="E18" s="198"/>
      <c r="F18" s="199" t="s">
        <v>135</v>
      </c>
      <c r="G18" s="197"/>
      <c r="H18" s="197"/>
      <c r="I18" s="198"/>
      <c r="J18" s="200"/>
      <c r="K18" s="201"/>
      <c r="L18" s="90">
        <v>142000</v>
      </c>
      <c r="M18" s="88">
        <v>0</v>
      </c>
      <c r="N18" s="89">
        <f>$L$17</f>
        <v>142000</v>
      </c>
    </row>
    <row r="19" spans="1:14" ht="15" customHeight="1" thickTop="1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</row>
    <row r="20" spans="1:14" ht="15" customHeight="1" x14ac:dyDescent="0.2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5" customHeight="1" x14ac:dyDescent="0.2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4" ht="15" customHeight="1" x14ac:dyDescent="0.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spans="1:14" ht="15" customHeight="1" x14ac:dyDescent="0.2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</row>
    <row r="24" spans="1:14" ht="15" customHeight="1" x14ac:dyDescent="0.2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1:14" ht="15" customHeight="1" x14ac:dyDescent="0.2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</row>
    <row r="26" spans="1:14" ht="15" customHeight="1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15" customHeight="1" x14ac:dyDescent="0.2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15" customHeight="1" x14ac:dyDescent="0.2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 spans="1:14" ht="15" customHeight="1" x14ac:dyDescent="0.2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1:14" ht="15" customHeight="1" x14ac:dyDescent="0.2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</sheetData>
  <mergeCells count="14">
    <mergeCell ref="B18:E18"/>
    <mergeCell ref="F18:I18"/>
    <mergeCell ref="J18:K18"/>
    <mergeCell ref="B4:H4"/>
    <mergeCell ref="M8:N8"/>
    <mergeCell ref="M9:N9"/>
    <mergeCell ref="J12:L12"/>
    <mergeCell ref="B13:I13"/>
    <mergeCell ref="B14:I14"/>
    <mergeCell ref="J15:K15"/>
    <mergeCell ref="B16:E16"/>
    <mergeCell ref="F16:I16"/>
    <mergeCell ref="J16:K16"/>
    <mergeCell ref="J17:K17"/>
  </mergeCells>
  <phoneticPr fontId="18"/>
  <pageMargins left="0" right="0" top="0.59" bottom="0.63" header="0.51" footer="0.51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showGridLines="0" workbookViewId="0">
      <selection activeCell="D34" sqref="D34"/>
    </sheetView>
  </sheetViews>
  <sheetFormatPr defaultColWidth="8.7265625" defaultRowHeight="13" x14ac:dyDescent="0.2"/>
  <cols>
    <col min="1" max="1" width="3.90625" style="91" customWidth="1"/>
    <col min="2" max="2" width="18.6328125" style="91" customWidth="1"/>
    <col min="3" max="6" width="15.6328125" style="91" customWidth="1"/>
    <col min="7" max="16384" width="8.7265625" style="91"/>
  </cols>
  <sheetData>
    <row r="1" spans="1:7" x14ac:dyDescent="0.2">
      <c r="A1" s="93"/>
      <c r="B1" s="93"/>
      <c r="C1" s="93"/>
      <c r="D1" s="93"/>
      <c r="E1" s="93"/>
      <c r="F1" s="94" t="s">
        <v>136</v>
      </c>
      <c r="G1" s="93"/>
    </row>
    <row r="2" spans="1:7" ht="14" x14ac:dyDescent="0.2">
      <c r="A2" s="93"/>
      <c r="B2" s="95" t="s">
        <v>137</v>
      </c>
      <c r="C2" s="95"/>
      <c r="D2" s="95"/>
      <c r="E2" s="95"/>
      <c r="F2" s="93"/>
      <c r="G2" s="93"/>
    </row>
    <row r="3" spans="1:7" ht="14" x14ac:dyDescent="0.2">
      <c r="A3" s="93"/>
      <c r="B3" s="96"/>
      <c r="C3" s="96"/>
      <c r="D3" s="96"/>
      <c r="E3" s="96"/>
      <c r="F3" s="93"/>
      <c r="G3" s="93"/>
    </row>
    <row r="4" spans="1:7" ht="14" x14ac:dyDescent="0.2">
      <c r="A4" s="93"/>
      <c r="B4" s="214" t="s">
        <v>138</v>
      </c>
      <c r="C4" s="214"/>
      <c r="D4" s="214"/>
      <c r="E4" s="214"/>
      <c r="F4" s="93"/>
      <c r="G4" s="93"/>
    </row>
    <row r="5" spans="1:7" x14ac:dyDescent="0.2">
      <c r="A5" s="93"/>
      <c r="B5" s="93"/>
      <c r="C5" s="93"/>
      <c r="D5" s="93"/>
      <c r="E5" s="93"/>
      <c r="F5" s="94" t="s">
        <v>139</v>
      </c>
      <c r="G5" s="93"/>
    </row>
    <row r="6" spans="1:7" ht="20.149999999999999" customHeight="1" x14ac:dyDescent="0.2">
      <c r="A6" s="97"/>
      <c r="B6" s="98" t="s">
        <v>140</v>
      </c>
      <c r="C6" s="98" t="s">
        <v>141</v>
      </c>
      <c r="D6" s="98" t="s">
        <v>142</v>
      </c>
      <c r="E6" s="98" t="s">
        <v>143</v>
      </c>
      <c r="F6" s="98" t="s">
        <v>144</v>
      </c>
      <c r="G6" s="93"/>
    </row>
    <row r="7" spans="1:7" ht="20.149999999999999" customHeight="1" x14ac:dyDescent="0.2">
      <c r="A7" s="99"/>
      <c r="B7" s="100" t="s">
        <v>145</v>
      </c>
      <c r="C7" s="101"/>
      <c r="D7" s="101"/>
      <c r="E7" s="101"/>
      <c r="F7" s="102"/>
      <c r="G7" s="93"/>
    </row>
    <row r="8" spans="1:7" ht="20.149999999999999" customHeight="1" x14ac:dyDescent="0.2">
      <c r="A8" s="103">
        <v>1</v>
      </c>
      <c r="B8" s="104" t="s">
        <v>146</v>
      </c>
      <c r="C8" s="105"/>
      <c r="D8" s="105"/>
      <c r="E8" s="105"/>
      <c r="F8" s="106"/>
      <c r="G8" s="93"/>
    </row>
    <row r="9" spans="1:7" ht="20.149999999999999" customHeight="1" x14ac:dyDescent="0.2">
      <c r="A9" s="103">
        <v>2</v>
      </c>
      <c r="B9" s="104" t="s">
        <v>147</v>
      </c>
      <c r="C9" s="105"/>
      <c r="D9" s="105"/>
      <c r="E9" s="105"/>
      <c r="F9" s="106"/>
      <c r="G9" s="93"/>
    </row>
    <row r="10" spans="1:7" ht="20.149999999999999" customHeight="1" x14ac:dyDescent="0.2">
      <c r="A10" s="103">
        <v>3</v>
      </c>
      <c r="B10" s="104" t="s">
        <v>148</v>
      </c>
      <c r="C10" s="105"/>
      <c r="D10" s="105"/>
      <c r="E10" s="105"/>
      <c r="F10" s="106"/>
      <c r="G10" s="93"/>
    </row>
    <row r="11" spans="1:7" ht="20.149999999999999" customHeight="1" x14ac:dyDescent="0.2">
      <c r="A11" s="103">
        <v>4</v>
      </c>
      <c r="B11" s="104" t="s">
        <v>149</v>
      </c>
      <c r="C11" s="105"/>
      <c r="D11" s="105"/>
      <c r="E11" s="105"/>
      <c r="F11" s="106"/>
      <c r="G11" s="93"/>
    </row>
    <row r="12" spans="1:7" ht="20.149999999999999" customHeight="1" x14ac:dyDescent="0.2">
      <c r="A12" s="103">
        <v>5</v>
      </c>
      <c r="B12" s="104" t="s">
        <v>150</v>
      </c>
      <c r="C12" s="105"/>
      <c r="D12" s="105"/>
      <c r="E12" s="105"/>
      <c r="F12" s="106"/>
      <c r="G12" s="93"/>
    </row>
    <row r="13" spans="1:7" ht="20.149999999999999" customHeight="1" x14ac:dyDescent="0.2">
      <c r="A13" s="103">
        <v>6</v>
      </c>
      <c r="B13" s="104" t="s">
        <v>151</v>
      </c>
      <c r="C13" s="105"/>
      <c r="D13" s="105"/>
      <c r="E13" s="105"/>
      <c r="F13" s="106"/>
      <c r="G13" s="93"/>
    </row>
    <row r="14" spans="1:7" ht="20.149999999999999" customHeight="1" x14ac:dyDescent="0.2">
      <c r="A14" s="103">
        <v>7</v>
      </c>
      <c r="B14" s="104" t="s">
        <v>153</v>
      </c>
      <c r="C14" s="105">
        <v>142000</v>
      </c>
      <c r="D14" s="105">
        <v>102000</v>
      </c>
      <c r="E14" s="233" t="s">
        <v>237</v>
      </c>
      <c r="F14" s="106" t="s">
        <v>154</v>
      </c>
      <c r="G14" s="93"/>
    </row>
    <row r="15" spans="1:7" ht="20.149999999999999" customHeight="1" x14ac:dyDescent="0.2">
      <c r="A15" s="103">
        <v>8</v>
      </c>
      <c r="B15" s="104" t="s">
        <v>155</v>
      </c>
      <c r="C15" s="105"/>
      <c r="D15" s="105"/>
      <c r="E15" s="105"/>
      <c r="F15" s="106"/>
      <c r="G15" s="93"/>
    </row>
    <row r="16" spans="1:7" ht="20.149999999999999" customHeight="1" x14ac:dyDescent="0.2">
      <c r="A16" s="107"/>
      <c r="B16" s="108" t="s">
        <v>156</v>
      </c>
      <c r="C16" s="109">
        <f>C14</f>
        <v>142000</v>
      </c>
      <c r="D16" s="109">
        <f t="shared" ref="D16:E16" si="0">D14</f>
        <v>102000</v>
      </c>
      <c r="E16" s="234" t="str">
        <f t="shared" si="0"/>
        <v xml:space="preserve">26,328	</v>
      </c>
      <c r="F16" s="110"/>
      <c r="G16" s="93"/>
    </row>
    <row r="17" spans="1:7" ht="20.149999999999999" customHeight="1" x14ac:dyDescent="0.2">
      <c r="A17" s="111"/>
      <c r="B17" s="100" t="s">
        <v>157</v>
      </c>
      <c r="C17" s="112"/>
      <c r="D17" s="112"/>
      <c r="E17" s="112"/>
      <c r="F17" s="102"/>
      <c r="G17" s="93"/>
    </row>
    <row r="18" spans="1:7" ht="20.149999999999999" customHeight="1" x14ac:dyDescent="0.2">
      <c r="A18" s="103">
        <v>1</v>
      </c>
      <c r="B18" s="104" t="s">
        <v>159</v>
      </c>
      <c r="C18" s="105">
        <f>'収益・費用明細書(様式4)'!$G$15</f>
        <v>61776</v>
      </c>
      <c r="D18" s="233" t="s">
        <v>238</v>
      </c>
      <c r="E18" s="105"/>
      <c r="F18" s="106" t="s">
        <v>160</v>
      </c>
      <c r="G18" s="93"/>
    </row>
    <row r="19" spans="1:7" ht="20.149999999999999" customHeight="1" x14ac:dyDescent="0.2">
      <c r="A19" s="103">
        <v>2</v>
      </c>
      <c r="B19" s="104" t="s">
        <v>162</v>
      </c>
      <c r="C19" s="113">
        <f>'収益・費用明細書(様式4)'!$G$18</f>
        <v>31650</v>
      </c>
      <c r="D19" s="233">
        <v>41050</v>
      </c>
      <c r="E19" s="105"/>
      <c r="F19" s="114" t="s">
        <v>163</v>
      </c>
      <c r="G19" s="93"/>
    </row>
    <row r="20" spans="1:7" ht="20.149999999999999" customHeight="1" x14ac:dyDescent="0.2">
      <c r="A20" s="103">
        <v>3</v>
      </c>
      <c r="B20" s="104" t="s">
        <v>164</v>
      </c>
      <c r="C20" s="105"/>
      <c r="D20" s="233"/>
      <c r="E20" s="105"/>
      <c r="F20" s="106"/>
      <c r="G20" s="93"/>
    </row>
    <row r="21" spans="1:7" ht="20.149999999999999" customHeight="1" x14ac:dyDescent="0.2">
      <c r="A21" s="103">
        <v>4</v>
      </c>
      <c r="B21" s="104" t="s">
        <v>165</v>
      </c>
      <c r="C21" s="105"/>
      <c r="D21" s="233"/>
      <c r="E21" s="105"/>
      <c r="F21" s="106"/>
      <c r="G21" s="93"/>
    </row>
    <row r="22" spans="1:7" ht="20.149999999999999" customHeight="1" x14ac:dyDescent="0.2">
      <c r="A22" s="103">
        <v>5</v>
      </c>
      <c r="B22" s="104" t="s">
        <v>166</v>
      </c>
      <c r="C22" s="105"/>
      <c r="D22" s="233"/>
      <c r="E22" s="105"/>
      <c r="F22" s="106"/>
      <c r="G22" s="93"/>
    </row>
    <row r="23" spans="1:7" ht="20.149999999999999" customHeight="1" x14ac:dyDescent="0.2">
      <c r="A23" s="103">
        <v>6</v>
      </c>
      <c r="B23" s="104" t="s">
        <v>167</v>
      </c>
      <c r="C23" s="105"/>
      <c r="D23" s="233"/>
      <c r="E23" s="105"/>
      <c r="F23" s="106"/>
      <c r="G23" s="93"/>
    </row>
    <row r="24" spans="1:7" ht="20.149999999999999" customHeight="1" x14ac:dyDescent="0.2">
      <c r="A24" s="103">
        <v>7</v>
      </c>
      <c r="B24" s="104" t="s">
        <v>168</v>
      </c>
      <c r="C24" s="105"/>
      <c r="D24" s="233"/>
      <c r="E24" s="105"/>
      <c r="F24" s="106"/>
      <c r="G24" s="93"/>
    </row>
    <row r="25" spans="1:7" ht="20.149999999999999" customHeight="1" x14ac:dyDescent="0.2">
      <c r="A25" s="103">
        <v>8</v>
      </c>
      <c r="B25" s="104" t="s">
        <v>169</v>
      </c>
      <c r="C25" s="105"/>
      <c r="D25" s="233"/>
      <c r="E25" s="105"/>
      <c r="F25" s="106"/>
      <c r="G25" s="93"/>
    </row>
    <row r="26" spans="1:7" ht="20.149999999999999" customHeight="1" x14ac:dyDescent="0.2">
      <c r="A26" s="103">
        <v>9</v>
      </c>
      <c r="B26" s="104" t="s">
        <v>170</v>
      </c>
      <c r="C26" s="105"/>
      <c r="D26" s="233"/>
      <c r="E26" s="105"/>
      <c r="F26" s="106"/>
      <c r="G26" s="93"/>
    </row>
    <row r="27" spans="1:7" ht="20.149999999999999" customHeight="1" x14ac:dyDescent="0.2">
      <c r="A27" s="103">
        <v>10</v>
      </c>
      <c r="B27" s="104" t="s">
        <v>171</v>
      </c>
      <c r="C27" s="105"/>
      <c r="D27" s="233"/>
      <c r="E27" s="105"/>
      <c r="F27" s="106"/>
      <c r="G27" s="93"/>
    </row>
    <row r="28" spans="1:7" ht="20.149999999999999" customHeight="1" x14ac:dyDescent="0.2">
      <c r="A28" s="103">
        <v>11</v>
      </c>
      <c r="B28" s="104" t="s">
        <v>172</v>
      </c>
      <c r="C28" s="105"/>
      <c r="D28" s="233"/>
      <c r="E28" s="105"/>
      <c r="F28" s="106"/>
      <c r="G28" s="93"/>
    </row>
    <row r="29" spans="1:7" ht="20.149999999999999" customHeight="1" x14ac:dyDescent="0.2">
      <c r="A29" s="103">
        <v>12</v>
      </c>
      <c r="B29" s="104" t="s">
        <v>173</v>
      </c>
      <c r="C29" s="105">
        <f>'収益・費用明細書(様式4)'!$G$22</f>
        <v>46365</v>
      </c>
      <c r="D29" s="233">
        <v>45672</v>
      </c>
      <c r="E29" s="105">
        <v>26328</v>
      </c>
      <c r="F29" s="106" t="s">
        <v>174</v>
      </c>
      <c r="G29" s="93"/>
    </row>
    <row r="30" spans="1:7" ht="20.149999999999999" customHeight="1" x14ac:dyDescent="0.2">
      <c r="A30" s="103">
        <v>13</v>
      </c>
      <c r="B30" s="104" t="s">
        <v>175</v>
      </c>
      <c r="C30" s="105"/>
      <c r="D30" s="233">
        <v>550</v>
      </c>
      <c r="E30" s="105"/>
      <c r="F30" s="106"/>
      <c r="G30" s="93"/>
    </row>
    <row r="31" spans="1:7" ht="20.149999999999999" customHeight="1" x14ac:dyDescent="0.2">
      <c r="A31" s="103">
        <v>14</v>
      </c>
      <c r="B31" s="104" t="s">
        <v>176</v>
      </c>
      <c r="C31" s="105">
        <f>'収益・費用明細書(様式4)'!$G$24</f>
        <v>2209</v>
      </c>
      <c r="D31" s="233">
        <v>2628</v>
      </c>
      <c r="E31" s="105"/>
      <c r="F31" s="115">
        <v>1.66E-2</v>
      </c>
      <c r="G31" s="93"/>
    </row>
    <row r="32" spans="1:7" ht="20.149999999999999" customHeight="1" x14ac:dyDescent="0.2">
      <c r="A32" s="103"/>
      <c r="B32" s="104" t="s">
        <v>177</v>
      </c>
      <c r="C32" s="105">
        <f>'収益・費用明細書(様式4)'!$G$25</f>
        <v>142000</v>
      </c>
      <c r="D32" s="105">
        <v>102000</v>
      </c>
      <c r="E32" s="105">
        <f>E29</f>
        <v>26328</v>
      </c>
      <c r="F32" s="106"/>
      <c r="G32" s="93"/>
    </row>
    <row r="33" spans="1:7" ht="20.149999999999999" customHeight="1" x14ac:dyDescent="0.2">
      <c r="A33" s="116"/>
      <c r="B33" s="104" t="s">
        <v>178</v>
      </c>
      <c r="C33" s="105">
        <v>0</v>
      </c>
      <c r="D33" s="105">
        <v>0</v>
      </c>
      <c r="E33" s="105">
        <v>0</v>
      </c>
      <c r="F33" s="106"/>
      <c r="G33" s="93"/>
    </row>
    <row r="34" spans="1:7" ht="15" customHeight="1" x14ac:dyDescent="0.2">
      <c r="A34" s="93"/>
      <c r="B34" s="117"/>
      <c r="C34" s="93"/>
      <c r="D34" s="93"/>
      <c r="E34" s="93"/>
      <c r="F34" s="93"/>
      <c r="G34" s="93"/>
    </row>
    <row r="35" spans="1:7" ht="15" customHeight="1" x14ac:dyDescent="0.2">
      <c r="A35" s="93"/>
      <c r="B35" s="117"/>
      <c r="C35" s="93"/>
      <c r="D35" s="93"/>
      <c r="E35" s="93"/>
      <c r="F35" s="93"/>
      <c r="G35" s="93"/>
    </row>
    <row r="36" spans="1:7" x14ac:dyDescent="0.2">
      <c r="A36" s="93"/>
      <c r="B36" s="93"/>
      <c r="C36" s="93"/>
      <c r="D36" s="93"/>
      <c r="E36" s="93"/>
      <c r="F36" s="93"/>
      <c r="G36" s="93"/>
    </row>
    <row r="37" spans="1:7" x14ac:dyDescent="0.2">
      <c r="A37" s="93"/>
      <c r="B37" s="93"/>
      <c r="C37" s="93"/>
      <c r="D37" s="93"/>
      <c r="E37" s="93"/>
      <c r="F37" s="93"/>
      <c r="G37" s="93"/>
    </row>
    <row r="38" spans="1:7" x14ac:dyDescent="0.2">
      <c r="A38" s="93"/>
      <c r="B38" s="93"/>
      <c r="C38" s="93"/>
      <c r="D38" s="93"/>
      <c r="E38" s="93"/>
      <c r="F38" s="93"/>
      <c r="G38" s="93"/>
    </row>
    <row r="39" spans="1:7" x14ac:dyDescent="0.2">
      <c r="A39" s="93"/>
      <c r="B39" s="93"/>
      <c r="C39" s="93"/>
      <c r="D39" s="93"/>
      <c r="E39" s="93"/>
      <c r="F39" s="93"/>
      <c r="G39" s="93"/>
    </row>
  </sheetData>
  <mergeCells count="1">
    <mergeCell ref="B4:E4"/>
  </mergeCells>
  <phoneticPr fontId="18"/>
  <printOptions horizontalCentered="1"/>
  <pageMargins left="0.35" right="0.51" top="0.98" bottom="0.98" header="0.51" footer="0.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showGridLines="0" topLeftCell="A7" zoomScale="85" zoomScaleNormal="85" workbookViewId="0">
      <selection activeCell="G24" sqref="G24"/>
    </sheetView>
  </sheetViews>
  <sheetFormatPr defaultColWidth="8.7265625" defaultRowHeight="13" x14ac:dyDescent="0.2"/>
  <cols>
    <col min="1" max="1" width="1.6328125" style="91" customWidth="1"/>
    <col min="2" max="2" width="3.6328125" style="91" customWidth="1"/>
    <col min="3" max="3" width="1.6328125" style="91" customWidth="1"/>
    <col min="4" max="4" width="18.6328125" style="91" customWidth="1"/>
    <col min="5" max="5" width="11.6328125" style="91" customWidth="1"/>
    <col min="6" max="6" width="28.90625" style="91" customWidth="1"/>
    <col min="7" max="7" width="20.90625" style="91" customWidth="1"/>
    <col min="8" max="8" width="5.08984375" style="91" customWidth="1"/>
    <col min="9" max="9" width="4.08984375" style="91" customWidth="1"/>
    <col min="10" max="16384" width="8.7265625" style="91"/>
  </cols>
  <sheetData>
    <row r="1" spans="1:9" x14ac:dyDescent="0.2">
      <c r="A1" s="93"/>
      <c r="B1" s="93"/>
      <c r="C1" s="93"/>
      <c r="D1" s="218" t="s">
        <v>179</v>
      </c>
      <c r="E1" s="218"/>
      <c r="F1" s="218"/>
      <c r="G1" s="218"/>
      <c r="H1" s="218"/>
      <c r="I1" s="93"/>
    </row>
    <row r="2" spans="1:9" x14ac:dyDescent="0.2">
      <c r="A2" s="93"/>
      <c r="B2" s="220" t="s">
        <v>138</v>
      </c>
      <c r="C2" s="220"/>
      <c r="D2" s="220"/>
      <c r="E2" s="220"/>
      <c r="F2" s="220"/>
      <c r="G2" s="220"/>
      <c r="H2" s="94"/>
      <c r="I2" s="93"/>
    </row>
    <row r="3" spans="1:9" x14ac:dyDescent="0.2">
      <c r="A3" s="93"/>
      <c r="B3" s="93"/>
      <c r="C3" s="93"/>
      <c r="D3" s="94"/>
      <c r="E3" s="94"/>
      <c r="F3" s="94"/>
      <c r="G3" s="94"/>
      <c r="H3" s="94"/>
      <c r="I3" s="93"/>
    </row>
    <row r="4" spans="1:9" x14ac:dyDescent="0.2">
      <c r="A4" s="219" t="s">
        <v>180</v>
      </c>
      <c r="B4" s="219"/>
      <c r="C4" s="219"/>
      <c r="D4" s="219"/>
      <c r="E4" s="118"/>
      <c r="F4" s="93"/>
      <c r="G4" s="93"/>
      <c r="H4" s="94" t="s">
        <v>181</v>
      </c>
      <c r="I4" s="93"/>
    </row>
    <row r="5" spans="1:9" ht="30" customHeight="1" x14ac:dyDescent="0.2">
      <c r="A5" s="215" t="s">
        <v>182</v>
      </c>
      <c r="B5" s="216"/>
      <c r="C5" s="216"/>
      <c r="D5" s="217"/>
      <c r="E5" s="221" t="s">
        <v>183</v>
      </c>
      <c r="F5" s="217"/>
      <c r="G5" s="119" t="s">
        <v>184</v>
      </c>
      <c r="H5" s="119" t="s">
        <v>185</v>
      </c>
      <c r="I5" s="93"/>
    </row>
    <row r="6" spans="1:9" ht="30" customHeight="1" x14ac:dyDescent="0.2">
      <c r="A6" s="120" t="s">
        <v>186</v>
      </c>
      <c r="B6" s="121">
        <v>7</v>
      </c>
      <c r="C6" s="122" t="s">
        <v>187</v>
      </c>
      <c r="D6" s="106" t="s">
        <v>152</v>
      </c>
      <c r="E6" s="222" t="s">
        <v>154</v>
      </c>
      <c r="F6" s="223"/>
      <c r="G6" s="123">
        <v>142000</v>
      </c>
      <c r="H6" s="106"/>
      <c r="I6" s="93"/>
    </row>
    <row r="7" spans="1:9" ht="30" customHeight="1" x14ac:dyDescent="0.2">
      <c r="A7" s="215" t="s">
        <v>188</v>
      </c>
      <c r="B7" s="216"/>
      <c r="C7" s="216"/>
      <c r="D7" s="216"/>
      <c r="E7" s="216"/>
      <c r="F7" s="217"/>
      <c r="G7" s="123">
        <f>G6</f>
        <v>142000</v>
      </c>
      <c r="H7" s="106"/>
      <c r="I7" s="93"/>
    </row>
    <row r="8" spans="1:9" ht="13.5" customHeight="1" x14ac:dyDescent="0.2">
      <c r="A8" s="93"/>
      <c r="B8" s="93"/>
      <c r="C8" s="93"/>
      <c r="D8" s="93"/>
      <c r="E8" s="93"/>
      <c r="F8" s="93"/>
      <c r="G8" s="93"/>
      <c r="H8" s="93"/>
      <c r="I8" s="93"/>
    </row>
    <row r="9" spans="1:9" ht="13.5" customHeight="1" x14ac:dyDescent="0.2">
      <c r="A9" s="93"/>
      <c r="B9" s="93"/>
      <c r="C9" s="93"/>
      <c r="D9" s="93"/>
      <c r="E9" s="93"/>
      <c r="F9" s="93"/>
      <c r="G9" s="93"/>
      <c r="H9" s="93"/>
      <c r="I9" s="93"/>
    </row>
    <row r="10" spans="1:9" ht="13.5" customHeight="1" x14ac:dyDescent="0.2">
      <c r="A10" s="93"/>
      <c r="B10" s="93"/>
      <c r="C10" s="93"/>
      <c r="D10" s="218"/>
      <c r="E10" s="218"/>
      <c r="F10" s="218"/>
      <c r="G10" s="218"/>
      <c r="H10" s="218"/>
      <c r="I10" s="93"/>
    </row>
    <row r="11" spans="1:9" ht="19.5" customHeight="1" x14ac:dyDescent="0.2">
      <c r="A11" s="219" t="s">
        <v>189</v>
      </c>
      <c r="B11" s="219"/>
      <c r="C11" s="219"/>
      <c r="D11" s="219"/>
      <c r="E11" s="93"/>
      <c r="F11" s="93"/>
      <c r="G11" s="93"/>
      <c r="H11" s="94" t="s">
        <v>181</v>
      </c>
      <c r="I11" s="93"/>
    </row>
    <row r="12" spans="1:9" ht="30" customHeight="1" x14ac:dyDescent="0.2">
      <c r="A12" s="215" t="s">
        <v>182</v>
      </c>
      <c r="B12" s="216"/>
      <c r="C12" s="216"/>
      <c r="D12" s="217"/>
      <c r="E12" s="119" t="s">
        <v>190</v>
      </c>
      <c r="F12" s="119" t="s">
        <v>191</v>
      </c>
      <c r="G12" s="178" t="s">
        <v>184</v>
      </c>
      <c r="H12" s="178" t="s">
        <v>185</v>
      </c>
      <c r="I12" s="93"/>
    </row>
    <row r="13" spans="1:9" ht="30" customHeight="1" x14ac:dyDescent="0.2">
      <c r="A13" s="124" t="s">
        <v>186</v>
      </c>
      <c r="B13" s="175">
        <v>1</v>
      </c>
      <c r="C13" s="176" t="s">
        <v>187</v>
      </c>
      <c r="D13" s="110" t="s">
        <v>158</v>
      </c>
      <c r="E13" s="106" t="s">
        <v>160</v>
      </c>
      <c r="F13" s="106" t="s">
        <v>192</v>
      </c>
      <c r="G13" s="177">
        <v>55000</v>
      </c>
      <c r="H13" s="179">
        <v>1</v>
      </c>
      <c r="I13" s="93"/>
    </row>
    <row r="14" spans="1:9" ht="30" customHeight="1" x14ac:dyDescent="0.2">
      <c r="A14" s="124"/>
      <c r="B14" s="175"/>
      <c r="C14" s="176"/>
      <c r="D14" s="110"/>
      <c r="E14" s="106" t="s">
        <v>160</v>
      </c>
      <c r="F14" s="106" t="s">
        <v>193</v>
      </c>
      <c r="G14" s="177">
        <v>6776</v>
      </c>
      <c r="H14" s="179">
        <v>1</v>
      </c>
      <c r="I14" s="93"/>
    </row>
    <row r="15" spans="1:9" ht="30" customHeight="1" x14ac:dyDescent="0.2">
      <c r="A15" s="116"/>
      <c r="B15" s="122"/>
      <c r="C15" s="122"/>
      <c r="D15" s="106"/>
      <c r="E15" s="122"/>
      <c r="F15" s="106" t="s">
        <v>194</v>
      </c>
      <c r="G15" s="177">
        <f>(G13+G14)</f>
        <v>61776</v>
      </c>
      <c r="H15" s="178"/>
      <c r="I15" s="93"/>
    </row>
    <row r="16" spans="1:9" ht="30" customHeight="1" x14ac:dyDescent="0.2">
      <c r="A16" s="124" t="s">
        <v>186</v>
      </c>
      <c r="B16" s="175">
        <v>2</v>
      </c>
      <c r="C16" s="176" t="s">
        <v>187</v>
      </c>
      <c r="D16" s="110" t="s">
        <v>161</v>
      </c>
      <c r="E16" s="106" t="s">
        <v>195</v>
      </c>
      <c r="F16" s="106" t="s">
        <v>196</v>
      </c>
      <c r="G16" s="177">
        <v>1650</v>
      </c>
      <c r="H16" s="179">
        <v>1</v>
      </c>
      <c r="I16" s="93"/>
    </row>
    <row r="17" spans="1:9" ht="30" customHeight="1" x14ac:dyDescent="0.2">
      <c r="A17" s="127"/>
      <c r="B17" s="176"/>
      <c r="C17" s="176"/>
      <c r="D17" s="110"/>
      <c r="E17" s="106" t="s">
        <v>195</v>
      </c>
      <c r="F17" s="110" t="s">
        <v>197</v>
      </c>
      <c r="G17" s="177">
        <v>30000</v>
      </c>
      <c r="H17" s="180">
        <v>3</v>
      </c>
      <c r="I17" s="93"/>
    </row>
    <row r="18" spans="1:9" ht="30" customHeight="1" x14ac:dyDescent="0.2">
      <c r="A18" s="116"/>
      <c r="B18" s="122"/>
      <c r="C18" s="122"/>
      <c r="D18" s="106"/>
      <c r="E18" s="122"/>
      <c r="F18" s="102" t="s">
        <v>194</v>
      </c>
      <c r="G18" s="177">
        <v>31650</v>
      </c>
      <c r="H18" s="178"/>
      <c r="I18" s="93"/>
    </row>
    <row r="19" spans="1:9" ht="30" customHeight="1" x14ac:dyDescent="0.2">
      <c r="A19" s="124" t="s">
        <v>186</v>
      </c>
      <c r="B19" s="175">
        <v>12</v>
      </c>
      <c r="C19" s="176" t="s">
        <v>187</v>
      </c>
      <c r="D19" s="110" t="s">
        <v>173</v>
      </c>
      <c r="E19" s="106" t="s">
        <v>173</v>
      </c>
      <c r="F19" s="238" t="s">
        <v>235</v>
      </c>
      <c r="G19" s="177">
        <v>20625</v>
      </c>
      <c r="H19" s="179">
        <v>1</v>
      </c>
      <c r="I19" s="93"/>
    </row>
    <row r="20" spans="1:9" ht="30" customHeight="1" x14ac:dyDescent="0.2">
      <c r="A20" s="124"/>
      <c r="B20" s="175"/>
      <c r="C20" s="176"/>
      <c r="D20" s="110"/>
      <c r="E20" s="106" t="s">
        <v>173</v>
      </c>
      <c r="F20" s="106" t="s">
        <v>234</v>
      </c>
      <c r="G20" s="177">
        <v>16500</v>
      </c>
      <c r="H20" s="179">
        <v>1</v>
      </c>
      <c r="I20" s="93"/>
    </row>
    <row r="21" spans="1:9" ht="30" customHeight="1" x14ac:dyDescent="0.2">
      <c r="A21" s="124"/>
      <c r="B21" s="175"/>
      <c r="C21" s="176"/>
      <c r="D21" s="110"/>
      <c r="E21" s="106" t="s">
        <v>173</v>
      </c>
      <c r="F21" s="106" t="s">
        <v>239</v>
      </c>
      <c r="G21" s="177">
        <v>9240</v>
      </c>
      <c r="H21" s="180">
        <v>2</v>
      </c>
      <c r="I21" s="93"/>
    </row>
    <row r="22" spans="1:9" ht="30" customHeight="1" x14ac:dyDescent="0.2">
      <c r="A22" s="116"/>
      <c r="B22" s="122"/>
      <c r="C22" s="122"/>
      <c r="D22" s="106"/>
      <c r="E22" s="122"/>
      <c r="F22" s="106" t="s">
        <v>198</v>
      </c>
      <c r="G22" s="177">
        <f>(G19+G20+G21)</f>
        <v>46365</v>
      </c>
      <c r="H22" s="178"/>
      <c r="I22" s="93"/>
    </row>
    <row r="23" spans="1:9" ht="30" customHeight="1" x14ac:dyDescent="0.2">
      <c r="A23" s="124" t="s">
        <v>186</v>
      </c>
      <c r="B23" s="175">
        <v>15</v>
      </c>
      <c r="C23" s="176" t="s">
        <v>187</v>
      </c>
      <c r="D23" s="110" t="s">
        <v>176</v>
      </c>
      <c r="E23" s="106" t="s">
        <v>176</v>
      </c>
      <c r="F23" s="115">
        <v>1.66E-2</v>
      </c>
      <c r="G23" s="105">
        <v>2209</v>
      </c>
      <c r="H23" s="126"/>
      <c r="I23" s="93"/>
    </row>
    <row r="24" spans="1:9" ht="30" customHeight="1" x14ac:dyDescent="0.2">
      <c r="A24" s="116"/>
      <c r="B24" s="122"/>
      <c r="C24" s="122"/>
      <c r="D24" s="106"/>
      <c r="E24" s="122"/>
      <c r="F24" s="106" t="s">
        <v>194</v>
      </c>
      <c r="G24" s="105">
        <f>(G23)</f>
        <v>2209</v>
      </c>
      <c r="H24" s="126"/>
      <c r="I24" s="93"/>
    </row>
    <row r="25" spans="1:9" ht="30" customHeight="1" x14ac:dyDescent="0.2">
      <c r="A25" s="116"/>
      <c r="B25" s="122"/>
      <c r="C25" s="122"/>
      <c r="D25" s="122"/>
      <c r="E25" s="122"/>
      <c r="F25" s="106" t="s">
        <v>199</v>
      </c>
      <c r="G25" s="105">
        <f>(G15+G18+G22+G24)</f>
        <v>142000</v>
      </c>
      <c r="H25" s="126"/>
      <c r="I25" s="93"/>
    </row>
    <row r="26" spans="1:9" ht="19.5" customHeight="1" x14ac:dyDescent="0.2">
      <c r="A26" s="93"/>
      <c r="B26" s="93"/>
      <c r="C26" s="93"/>
      <c r="D26" s="93"/>
      <c r="E26" s="93"/>
      <c r="F26" s="93"/>
      <c r="G26" s="93"/>
      <c r="H26" s="93"/>
      <c r="I26" s="93"/>
    </row>
    <row r="27" spans="1:9" ht="19.5" customHeight="1" x14ac:dyDescent="0.2">
      <c r="A27" s="93"/>
      <c r="B27" s="93"/>
      <c r="C27" s="93"/>
      <c r="D27" s="93"/>
      <c r="E27" s="93"/>
      <c r="F27" s="93"/>
      <c r="G27" s="93"/>
      <c r="H27" s="93"/>
      <c r="I27" s="93"/>
    </row>
    <row r="28" spans="1:9" ht="19.5" customHeight="1" x14ac:dyDescent="0.2">
      <c r="A28" s="93"/>
      <c r="B28" s="93"/>
      <c r="C28" s="93"/>
      <c r="D28" s="93"/>
      <c r="E28" s="93"/>
      <c r="F28" s="93"/>
      <c r="G28" s="93"/>
      <c r="H28" s="93"/>
      <c r="I28" s="93"/>
    </row>
    <row r="29" spans="1:9" ht="19.5" customHeight="1" x14ac:dyDescent="0.2">
      <c r="A29" s="93"/>
      <c r="B29" s="93"/>
      <c r="C29" s="93"/>
      <c r="D29" s="93"/>
      <c r="E29" s="93"/>
      <c r="F29" s="93"/>
      <c r="G29" s="93"/>
      <c r="H29" s="93"/>
      <c r="I29" s="93"/>
    </row>
    <row r="30" spans="1:9" ht="19.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</row>
    <row r="31" spans="1:9" ht="19.5" customHeight="1" x14ac:dyDescent="0.2">
      <c r="A31" s="93"/>
      <c r="B31" s="93"/>
      <c r="C31" s="93"/>
      <c r="D31" s="93"/>
      <c r="E31" s="93"/>
      <c r="F31" s="93"/>
      <c r="G31" s="93"/>
      <c r="H31" s="93"/>
      <c r="I31" s="93"/>
    </row>
    <row r="32" spans="1:9" ht="19.5" customHeight="1" x14ac:dyDescent="0.2">
      <c r="A32" s="93"/>
      <c r="B32" s="93"/>
      <c r="C32" s="93"/>
      <c r="D32" s="93"/>
      <c r="E32" s="93"/>
      <c r="F32" s="93"/>
      <c r="G32" s="93"/>
      <c r="H32" s="93"/>
      <c r="I32" s="93"/>
    </row>
  </sheetData>
  <mergeCells count="10">
    <mergeCell ref="A7:F7"/>
    <mergeCell ref="D10:H10"/>
    <mergeCell ref="A11:D11"/>
    <mergeCell ref="A12:D12"/>
    <mergeCell ref="D1:H1"/>
    <mergeCell ref="B2:G2"/>
    <mergeCell ref="A4:D4"/>
    <mergeCell ref="A5:D5"/>
    <mergeCell ref="E5:F5"/>
    <mergeCell ref="E6:F6"/>
  </mergeCells>
  <phoneticPr fontId="18"/>
  <hyperlinks>
    <hyperlink ref="H20" r:id="rId1" display="mitsumori\gurandehagakure_heyadai.pdf" xr:uid="{7B19EEBE-E207-410E-9514-460FD9BC6BF4}"/>
    <hyperlink ref="H19" r:id="rId2" display="mitsumori\gurandehagakure_heyadai.pdf" xr:uid="{2C116FF4-7791-4832-9E87-E9FF5E3BAEA6}"/>
    <hyperlink ref="H16" r:id="rId3" display="mitsumori\gurandehagakure_heyadai.pdf" xr:uid="{A051CF37-6AC3-4477-8013-73A1A2EEB5AA}"/>
    <hyperlink ref="H14" r:id="rId4" display="mitsumori\gurandehagakure_heyadai.pdf" xr:uid="{11ED3ACD-44F4-4AC0-A1B8-C97AE3BF5BFE}"/>
    <hyperlink ref="H13" r:id="rId5" display="mitsumori\gurandehagakure_heyadai.pdf" xr:uid="{6452B3FA-A418-4553-B3CC-6DD59E40A5CF}"/>
    <hyperlink ref="H17" r:id="rId6" display="mitsumori\teensmyujikaru_mitumori.PDF" xr:uid="{CFD52B8C-D6E6-4E1C-999C-C2BEBF89BD29}"/>
    <hyperlink ref="H21" r:id="rId7" display="mitsumori\mitsumori_kitte.pdf" xr:uid="{3AE47991-B7CE-47C2-A9C7-E9AC30ADFE17}"/>
  </hyperlinks>
  <printOptions horizontalCentered="1"/>
  <pageMargins left="0.79" right="0.79" top="0.98" bottom="0.55000000000000004" header="0.51" footer="0.51"/>
  <pageSetup paperSize="9"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topLeftCell="A4" workbookViewId="0">
      <selection activeCell="C17" sqref="C17"/>
    </sheetView>
  </sheetViews>
  <sheetFormatPr defaultRowHeight="13" x14ac:dyDescent="0.2"/>
  <cols>
    <col min="1" max="1" width="9.08984375" customWidth="1"/>
    <col min="2" max="2" width="27.6328125" customWidth="1"/>
    <col min="3" max="3" width="23.08984375" customWidth="1"/>
    <col min="4" max="4" width="23.90625" customWidth="1"/>
    <col min="5" max="5" width="15.7265625" bestFit="1" customWidth="1"/>
    <col min="6" max="6" width="6.453125" customWidth="1"/>
    <col min="7" max="7" width="22.90625" customWidth="1"/>
    <col min="8" max="8" width="13.90625" customWidth="1"/>
  </cols>
  <sheetData>
    <row r="1" spans="1:8" x14ac:dyDescent="0.2">
      <c r="A1" s="92"/>
      <c r="B1" s="92"/>
      <c r="C1" s="92"/>
      <c r="D1" s="92"/>
      <c r="E1" s="92"/>
      <c r="F1" s="92"/>
      <c r="G1" s="92"/>
      <c r="H1" s="128" t="s">
        <v>200</v>
      </c>
    </row>
    <row r="2" spans="1:8" ht="16.5" x14ac:dyDescent="0.25">
      <c r="A2" s="92"/>
      <c r="B2" s="129" t="s">
        <v>30</v>
      </c>
      <c r="C2" s="129"/>
      <c r="D2" s="129"/>
      <c r="E2" s="129"/>
      <c r="F2" s="129"/>
      <c r="G2" s="129"/>
      <c r="H2" s="129"/>
    </row>
    <row r="3" spans="1:8" x14ac:dyDescent="0.2">
      <c r="A3" s="92"/>
      <c r="B3" s="130" t="s">
        <v>201</v>
      </c>
      <c r="C3" s="130"/>
      <c r="D3" s="130"/>
      <c r="E3" s="130"/>
      <c r="F3" s="130"/>
      <c r="G3" s="130"/>
      <c r="H3" s="130"/>
    </row>
    <row r="4" spans="1:8" ht="13.5" thickBot="1" x14ac:dyDescent="0.25">
      <c r="A4" s="92"/>
      <c r="B4" s="92"/>
      <c r="C4" s="92"/>
      <c r="D4" s="92"/>
      <c r="E4" s="92"/>
      <c r="F4" s="92"/>
      <c r="G4" s="92"/>
      <c r="H4" s="92"/>
    </row>
    <row r="5" spans="1:8" x14ac:dyDescent="0.2">
      <c r="A5" s="224" t="s">
        <v>202</v>
      </c>
      <c r="B5" s="225"/>
      <c r="C5" s="225"/>
      <c r="D5" s="225"/>
      <c r="E5" s="226"/>
      <c r="F5" s="227" t="s">
        <v>203</v>
      </c>
      <c r="G5" s="225"/>
      <c r="H5" s="228"/>
    </row>
    <row r="6" spans="1:8" ht="13.5" thickBot="1" x14ac:dyDescent="0.25">
      <c r="A6" s="131" t="s">
        <v>204</v>
      </c>
      <c r="B6" s="132" t="s">
        <v>205</v>
      </c>
      <c r="C6" s="132" t="s">
        <v>206</v>
      </c>
      <c r="D6" s="132" t="s">
        <v>207</v>
      </c>
      <c r="E6" s="133" t="s">
        <v>208</v>
      </c>
      <c r="F6" s="134" t="s">
        <v>209</v>
      </c>
      <c r="G6" s="132" t="s">
        <v>205</v>
      </c>
      <c r="H6" s="135" t="s">
        <v>210</v>
      </c>
    </row>
    <row r="7" spans="1:8" x14ac:dyDescent="0.2">
      <c r="A7" s="161">
        <v>1</v>
      </c>
      <c r="B7" s="102" t="s">
        <v>211</v>
      </c>
      <c r="C7" s="102" t="s">
        <v>212</v>
      </c>
      <c r="D7" s="136">
        <v>100551</v>
      </c>
      <c r="E7" s="235">
        <v>44592</v>
      </c>
      <c r="F7" s="137"/>
      <c r="G7" s="138"/>
      <c r="H7" s="139"/>
    </row>
    <row r="8" spans="1:8" x14ac:dyDescent="0.2">
      <c r="A8" s="125">
        <v>2</v>
      </c>
      <c r="B8" s="106" t="s">
        <v>213</v>
      </c>
      <c r="C8" s="106" t="s">
        <v>214</v>
      </c>
      <c r="D8" s="140">
        <v>9240</v>
      </c>
      <c r="E8" s="236" t="s">
        <v>233</v>
      </c>
      <c r="F8" s="141"/>
      <c r="G8" s="142"/>
      <c r="H8" s="143"/>
    </row>
    <row r="9" spans="1:8" ht="13.5" thickBot="1" x14ac:dyDescent="0.25">
      <c r="A9" s="174">
        <v>3</v>
      </c>
      <c r="B9" s="144" t="s">
        <v>215</v>
      </c>
      <c r="C9" s="144" t="s">
        <v>216</v>
      </c>
      <c r="D9" s="145">
        <v>30000</v>
      </c>
      <c r="E9" s="237">
        <v>44926</v>
      </c>
      <c r="F9" s="146"/>
      <c r="G9" s="147"/>
      <c r="H9" s="148"/>
    </row>
    <row r="10" spans="1:8" ht="13.5" thickBot="1" x14ac:dyDescent="0.25">
      <c r="A10" s="229"/>
      <c r="B10" s="230"/>
      <c r="C10" s="149" t="s">
        <v>217</v>
      </c>
      <c r="D10" s="150">
        <f>(D7+D9+D8)</f>
        <v>139791</v>
      </c>
      <c r="E10" s="92"/>
      <c r="F10" s="92"/>
      <c r="G10" s="92"/>
      <c r="H10" s="151"/>
    </row>
    <row r="11" spans="1:8" ht="21" customHeight="1" x14ac:dyDescent="0.2">
      <c r="A11" s="231" t="s">
        <v>218</v>
      </c>
      <c r="B11" s="231"/>
      <c r="C11" s="231"/>
      <c r="D11" s="231"/>
      <c r="E11" s="231"/>
      <c r="F11" s="231"/>
      <c r="G11" s="231"/>
      <c r="H11" s="231"/>
    </row>
    <row r="12" spans="1:8" s="152" customFormat="1" ht="17.25" customHeight="1" x14ac:dyDescent="0.2">
      <c r="A12" s="153" t="s">
        <v>219</v>
      </c>
      <c r="B12" s="153"/>
      <c r="C12" s="153"/>
      <c r="D12" s="154"/>
      <c r="E12" s="154"/>
      <c r="F12" s="154"/>
      <c r="G12" s="154"/>
      <c r="H12" s="154"/>
    </row>
    <row r="13" spans="1:8" ht="17.25" customHeight="1" x14ac:dyDescent="0.2">
      <c r="A13" s="232" t="s">
        <v>220</v>
      </c>
      <c r="B13" s="232"/>
      <c r="C13" s="232"/>
      <c r="D13" s="232"/>
      <c r="E13" s="232"/>
      <c r="F13" s="232"/>
      <c r="G13" s="232"/>
      <c r="H13" s="232"/>
    </row>
    <row r="14" spans="1:8" ht="21" customHeight="1" x14ac:dyDescent="0.2">
      <c r="A14" s="155"/>
      <c r="B14" s="156"/>
      <c r="C14" s="156"/>
      <c r="D14" s="156"/>
      <c r="E14" s="156"/>
      <c r="F14" s="156"/>
      <c r="G14" s="156"/>
      <c r="H14" s="156"/>
    </row>
    <row r="15" spans="1:8" ht="13.5" thickBot="1" x14ac:dyDescent="0.25">
      <c r="A15" s="92"/>
      <c r="B15" s="92"/>
      <c r="C15" s="92"/>
      <c r="D15" s="92"/>
      <c r="E15" s="92"/>
      <c r="F15" s="92"/>
      <c r="G15" s="92"/>
      <c r="H15" s="92"/>
    </row>
    <row r="16" spans="1:8" ht="13.5" thickBot="1" x14ac:dyDescent="0.25">
      <c r="A16" s="157" t="s">
        <v>204</v>
      </c>
      <c r="B16" s="158" t="s">
        <v>221</v>
      </c>
      <c r="C16" s="158" t="s">
        <v>222</v>
      </c>
      <c r="D16" s="159" t="s">
        <v>223</v>
      </c>
      <c r="E16" s="160" t="s">
        <v>224</v>
      </c>
      <c r="F16" s="118"/>
      <c r="G16" s="92"/>
      <c r="H16" s="118"/>
    </row>
    <row r="17" spans="1:8" ht="24" customHeight="1" x14ac:dyDescent="0.2">
      <c r="A17" s="161">
        <v>1</v>
      </c>
      <c r="B17" s="162" t="s">
        <v>225</v>
      </c>
      <c r="C17" s="163" t="s" ph="1">
        <v>226</v>
      </c>
      <c r="D17" s="164" t="s">
        <v>227</v>
      </c>
      <c r="E17" s="165" t="s">
        <v>229</v>
      </c>
      <c r="F17" s="166"/>
      <c r="G17" s="92"/>
      <c r="H17" s="167"/>
    </row>
    <row r="18" spans="1:8" ht="24" customHeight="1" thickBot="1" x14ac:dyDescent="0.25">
      <c r="A18" s="174">
        <v>3</v>
      </c>
      <c r="B18" s="168" t="s">
        <v>230</v>
      </c>
      <c r="C18" s="169" t="s" ph="1">
        <v>226</v>
      </c>
      <c r="D18" s="170" t="s">
        <v>231</v>
      </c>
      <c r="E18" s="171" t="s">
        <v>228</v>
      </c>
      <c r="F18" s="166"/>
      <c r="G18" s="92"/>
      <c r="H18" s="167"/>
    </row>
    <row r="19" spans="1:8" ht="13.5" thickBot="1" x14ac:dyDescent="0.25">
      <c r="A19" s="92"/>
      <c r="B19" s="92"/>
      <c r="C19" s="92"/>
      <c r="D19" s="172" t="s">
        <v>232</v>
      </c>
      <c r="E19" s="173">
        <v>0</v>
      </c>
      <c r="F19" s="92"/>
      <c r="G19" s="92"/>
      <c r="H19" s="92"/>
    </row>
    <row r="20" spans="1:8" ht="19.5" x14ac:dyDescent="0.2">
      <c r="A20" s="2"/>
      <c r="B20" s="2"/>
      <c r="C20" s="2" ph="1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ht="19.5" x14ac:dyDescent="0.2">
      <c r="A31" s="2"/>
      <c r="B31" s="2"/>
      <c r="C31" s="2" ph="1"/>
      <c r="D31" s="2"/>
      <c r="E31" s="2"/>
      <c r="F31" s="2"/>
      <c r="G31" s="2"/>
      <c r="H31" s="2"/>
    </row>
  </sheetData>
  <mergeCells count="5">
    <mergeCell ref="A5:E5"/>
    <mergeCell ref="F5:H5"/>
    <mergeCell ref="A10:B10"/>
    <mergeCell ref="A11:H11"/>
    <mergeCell ref="A13:H13"/>
  </mergeCells>
  <phoneticPr fontId="18"/>
  <hyperlinks>
    <hyperlink ref="A8" r:id="rId1" display="mitsumori\mitsumori_kitte.pdf" xr:uid="{38BD18A5-AA5A-4F20-B2DB-B32AF0DF65A5}"/>
    <hyperlink ref="A9" r:id="rId2" display="mitsumori\teensmyujikaru_mitumori.PDF" xr:uid="{67A77431-7417-4CB9-A1A0-0DDBFC528BCB}"/>
    <hyperlink ref="A7" r:id="rId3" display="mitsumori\gurandehagakure_heyadai.pdf" xr:uid="{A4CEDF23-E668-4EF4-A6FB-09EDA63E481C}"/>
    <hyperlink ref="A17" r:id="rId4" display="mitsumori\gurandehagakure_heyadai.pdf" xr:uid="{0B4CF5FB-EF0D-43F6-B185-44D16218FE3E}"/>
    <hyperlink ref="A18" r:id="rId5" display="mitsumori\teensmyujikaru_mitumori.PDF" xr:uid="{B1EEFCCC-1934-46D9-AE88-6E1FE1C52923}"/>
  </hyperlinks>
  <printOptions horizontalCentered="1"/>
  <pageMargins left="1.06" right="0.67" top="0.98" bottom="0.98" header="0.51" footer="0.5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財審様式</vt:lpstr>
      <vt:lpstr>委員会年間事業予算管理表(様式1)</vt:lpstr>
      <vt:lpstr>収支予算書(様式3)</vt:lpstr>
      <vt:lpstr>収益・費用明細書(様式4)</vt:lpstr>
      <vt:lpstr>見積企業一覧表(様式5)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スズキスタイル</dc:creator>
  <cp:lastModifiedBy>FUJITSU</cp:lastModifiedBy>
  <dcterms:created xsi:type="dcterms:W3CDTF">2021-11-14T13:34:46Z</dcterms:created>
  <dcterms:modified xsi:type="dcterms:W3CDTF">2021-12-09T12:00:23Z</dcterms:modified>
</cp:coreProperties>
</file>